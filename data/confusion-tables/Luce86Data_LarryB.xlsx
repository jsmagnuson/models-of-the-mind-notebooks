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jpeg" ContentType="image/jpeg"/>
  <Default Extension="xml" ContentType="application/xml"/>
  <Override PartName="/xl/workbook.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/>
  <bookViews>
    <workbookView xWindow="1880" yWindow="60" windowWidth="25060" windowHeight="14980" tabRatio="500"/>
  </bookViews>
  <sheets>
    <sheet name="Luce+5" sheetId="1" r:id="rId1"/>
  </sheets>
  <calcPr calcId="110304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AB2" i="1"/>
  <c r="E31"/>
  <c r="D65"/>
  <c r="E65"/>
  <c r="F65"/>
  <c r="G65"/>
  <c r="H65"/>
  <c r="I65"/>
  <c r="J65"/>
  <c r="K65"/>
  <c r="L65"/>
  <c r="M65"/>
  <c r="N65"/>
  <c r="O65"/>
  <c r="P65"/>
  <c r="Q65"/>
  <c r="R65"/>
  <c r="S65"/>
  <c r="T65"/>
  <c r="U65"/>
  <c r="V65"/>
  <c r="W65"/>
  <c r="X65"/>
  <c r="Y65"/>
  <c r="Z65"/>
  <c r="F31"/>
  <c r="D66"/>
  <c r="E66"/>
  <c r="F66"/>
  <c r="G66"/>
  <c r="H66"/>
  <c r="I66"/>
  <c r="J66"/>
  <c r="K66"/>
  <c r="L66"/>
  <c r="M66"/>
  <c r="N66"/>
  <c r="O66"/>
  <c r="P66"/>
  <c r="Q66"/>
  <c r="R66"/>
  <c r="S66"/>
  <c r="T66"/>
  <c r="U66"/>
  <c r="V66"/>
  <c r="W66"/>
  <c r="X66"/>
  <c r="Y66"/>
  <c r="Z66"/>
  <c r="G31"/>
  <c r="D67"/>
  <c r="E67"/>
  <c r="F67"/>
  <c r="G67"/>
  <c r="H67"/>
  <c r="I67"/>
  <c r="J67"/>
  <c r="K67"/>
  <c r="L67"/>
  <c r="M67"/>
  <c r="N67"/>
  <c r="O67"/>
  <c r="P67"/>
  <c r="Q67"/>
  <c r="R67"/>
  <c r="S67"/>
  <c r="T67"/>
  <c r="U67"/>
  <c r="V67"/>
  <c r="W67"/>
  <c r="X67"/>
  <c r="Y67"/>
  <c r="Z67"/>
  <c r="H31"/>
  <c r="D68"/>
  <c r="E68"/>
  <c r="F68"/>
  <c r="G68"/>
  <c r="H68"/>
  <c r="I68"/>
  <c r="J68"/>
  <c r="K68"/>
  <c r="L68"/>
  <c r="M68"/>
  <c r="N68"/>
  <c r="O68"/>
  <c r="P68"/>
  <c r="Q68"/>
  <c r="R68"/>
  <c r="S68"/>
  <c r="T68"/>
  <c r="U68"/>
  <c r="V68"/>
  <c r="W68"/>
  <c r="X68"/>
  <c r="Y68"/>
  <c r="Z68"/>
  <c r="I31"/>
  <c r="D69"/>
  <c r="E69"/>
  <c r="F69"/>
  <c r="G69"/>
  <c r="H69"/>
  <c r="I69"/>
  <c r="J69"/>
  <c r="K69"/>
  <c r="L69"/>
  <c r="M69"/>
  <c r="N69"/>
  <c r="O69"/>
  <c r="P69"/>
  <c r="Q69"/>
  <c r="R69"/>
  <c r="S69"/>
  <c r="T69"/>
  <c r="U69"/>
  <c r="V69"/>
  <c r="W69"/>
  <c r="X69"/>
  <c r="Y69"/>
  <c r="Z69"/>
  <c r="J31"/>
  <c r="D70"/>
  <c r="E70"/>
  <c r="F70"/>
  <c r="G70"/>
  <c r="H70"/>
  <c r="I70"/>
  <c r="J70"/>
  <c r="K70"/>
  <c r="L70"/>
  <c r="M70"/>
  <c r="N70"/>
  <c r="O70"/>
  <c r="P70"/>
  <c r="Q70"/>
  <c r="R70"/>
  <c r="S70"/>
  <c r="T70"/>
  <c r="U70"/>
  <c r="V70"/>
  <c r="W70"/>
  <c r="X70"/>
  <c r="Y70"/>
  <c r="Z70"/>
  <c r="K31"/>
  <c r="D71"/>
  <c r="E71"/>
  <c r="F71"/>
  <c r="G71"/>
  <c r="H71"/>
  <c r="I71"/>
  <c r="J71"/>
  <c r="K71"/>
  <c r="L71"/>
  <c r="M71"/>
  <c r="N71"/>
  <c r="O71"/>
  <c r="P71"/>
  <c r="Q71"/>
  <c r="R71"/>
  <c r="S71"/>
  <c r="T71"/>
  <c r="U71"/>
  <c r="V71"/>
  <c r="W71"/>
  <c r="X71"/>
  <c r="Y71"/>
  <c r="Z71"/>
  <c r="L31"/>
  <c r="D72"/>
  <c r="E72"/>
  <c r="F72"/>
  <c r="G72"/>
  <c r="H72"/>
  <c r="I72"/>
  <c r="J72"/>
  <c r="K72"/>
  <c r="L72"/>
  <c r="M72"/>
  <c r="N72"/>
  <c r="O72"/>
  <c r="P72"/>
  <c r="Q72"/>
  <c r="R72"/>
  <c r="S72"/>
  <c r="T72"/>
  <c r="U72"/>
  <c r="V72"/>
  <c r="W72"/>
  <c r="X72"/>
  <c r="Y72"/>
  <c r="Z72"/>
  <c r="M31"/>
  <c r="D73"/>
  <c r="E73"/>
  <c r="F73"/>
  <c r="G73"/>
  <c r="H73"/>
  <c r="I73"/>
  <c r="J73"/>
  <c r="K73"/>
  <c r="L73"/>
  <c r="M73"/>
  <c r="N73"/>
  <c r="O73"/>
  <c r="P73"/>
  <c r="Q73"/>
  <c r="R73"/>
  <c r="S73"/>
  <c r="T73"/>
  <c r="U73"/>
  <c r="V73"/>
  <c r="W73"/>
  <c r="X73"/>
  <c r="Y73"/>
  <c r="Z73"/>
  <c r="N31"/>
  <c r="D74"/>
  <c r="E74"/>
  <c r="F74"/>
  <c r="G74"/>
  <c r="H74"/>
  <c r="I74"/>
  <c r="J74"/>
  <c r="K74"/>
  <c r="L74"/>
  <c r="M74"/>
  <c r="N74"/>
  <c r="O74"/>
  <c r="P74"/>
  <c r="Q74"/>
  <c r="R74"/>
  <c r="S74"/>
  <c r="T74"/>
  <c r="U74"/>
  <c r="V74"/>
  <c r="W74"/>
  <c r="X74"/>
  <c r="Y74"/>
  <c r="Z74"/>
  <c r="O31"/>
  <c r="D75"/>
  <c r="E75"/>
  <c r="F75"/>
  <c r="G75"/>
  <c r="H75"/>
  <c r="I75"/>
  <c r="J75"/>
  <c r="K75"/>
  <c r="L75"/>
  <c r="M75"/>
  <c r="N75"/>
  <c r="O75"/>
  <c r="P75"/>
  <c r="Q75"/>
  <c r="R75"/>
  <c r="S75"/>
  <c r="T75"/>
  <c r="U75"/>
  <c r="V75"/>
  <c r="W75"/>
  <c r="X75"/>
  <c r="Y75"/>
  <c r="Z75"/>
  <c r="P31"/>
  <c r="D76"/>
  <c r="E76"/>
  <c r="F76"/>
  <c r="G76"/>
  <c r="H76"/>
  <c r="I76"/>
  <c r="J76"/>
  <c r="K76"/>
  <c r="L76"/>
  <c r="M76"/>
  <c r="N76"/>
  <c r="O76"/>
  <c r="P76"/>
  <c r="Q76"/>
  <c r="R76"/>
  <c r="S76"/>
  <c r="T76"/>
  <c r="U76"/>
  <c r="V76"/>
  <c r="W76"/>
  <c r="X76"/>
  <c r="Y76"/>
  <c r="Z76"/>
  <c r="Q31"/>
  <c r="D77"/>
  <c r="E77"/>
  <c r="F77"/>
  <c r="G77"/>
  <c r="H77"/>
  <c r="I77"/>
  <c r="J77"/>
  <c r="K77"/>
  <c r="L77"/>
  <c r="M77"/>
  <c r="N77"/>
  <c r="O77"/>
  <c r="P77"/>
  <c r="Q77"/>
  <c r="R77"/>
  <c r="S77"/>
  <c r="T77"/>
  <c r="U77"/>
  <c r="V77"/>
  <c r="W77"/>
  <c r="X77"/>
  <c r="Y77"/>
  <c r="Z77"/>
  <c r="R31"/>
  <c r="D78"/>
  <c r="E78"/>
  <c r="F78"/>
  <c r="G78"/>
  <c r="H78"/>
  <c r="I78"/>
  <c r="J78"/>
  <c r="K78"/>
  <c r="L78"/>
  <c r="M78"/>
  <c r="N78"/>
  <c r="O78"/>
  <c r="P78"/>
  <c r="Q78"/>
  <c r="R78"/>
  <c r="S78"/>
  <c r="T78"/>
  <c r="U78"/>
  <c r="V78"/>
  <c r="W78"/>
  <c r="X78"/>
  <c r="Y78"/>
  <c r="Z78"/>
  <c r="S31"/>
  <c r="D79"/>
  <c r="E79"/>
  <c r="F79"/>
  <c r="G79"/>
  <c r="H79"/>
  <c r="I79"/>
  <c r="J79"/>
  <c r="K79"/>
  <c r="L79"/>
  <c r="M79"/>
  <c r="N79"/>
  <c r="O79"/>
  <c r="P79"/>
  <c r="Q79"/>
  <c r="R79"/>
  <c r="S79"/>
  <c r="T79"/>
  <c r="U79"/>
  <c r="V79"/>
  <c r="W79"/>
  <c r="X79"/>
  <c r="Y79"/>
  <c r="Z79"/>
  <c r="T31"/>
  <c r="D80"/>
  <c r="E80"/>
  <c r="F80"/>
  <c r="G80"/>
  <c r="H80"/>
  <c r="I80"/>
  <c r="J80"/>
  <c r="K80"/>
  <c r="L80"/>
  <c r="M80"/>
  <c r="N80"/>
  <c r="O80"/>
  <c r="P80"/>
  <c r="Q80"/>
  <c r="R80"/>
  <c r="S80"/>
  <c r="T80"/>
  <c r="U80"/>
  <c r="V80"/>
  <c r="W80"/>
  <c r="X80"/>
  <c r="Y80"/>
  <c r="Z80"/>
  <c r="U31"/>
  <c r="D81"/>
  <c r="E81"/>
  <c r="F81"/>
  <c r="G81"/>
  <c r="H81"/>
  <c r="I81"/>
  <c r="J81"/>
  <c r="K81"/>
  <c r="L81"/>
  <c r="M81"/>
  <c r="N81"/>
  <c r="O81"/>
  <c r="P81"/>
  <c r="Q81"/>
  <c r="R81"/>
  <c r="S81"/>
  <c r="T81"/>
  <c r="U81"/>
  <c r="V81"/>
  <c r="W81"/>
  <c r="X81"/>
  <c r="Y81"/>
  <c r="Z81"/>
  <c r="V31"/>
  <c r="D82"/>
  <c r="E82"/>
  <c r="F82"/>
  <c r="G82"/>
  <c r="H82"/>
  <c r="I82"/>
  <c r="J82"/>
  <c r="K82"/>
  <c r="L82"/>
  <c r="M82"/>
  <c r="N82"/>
  <c r="O82"/>
  <c r="P82"/>
  <c r="Q82"/>
  <c r="R82"/>
  <c r="S82"/>
  <c r="T82"/>
  <c r="U82"/>
  <c r="V82"/>
  <c r="W82"/>
  <c r="X82"/>
  <c r="Y82"/>
  <c r="Z82"/>
  <c r="W31"/>
  <c r="D83"/>
  <c r="E83"/>
  <c r="F83"/>
  <c r="G83"/>
  <c r="H83"/>
  <c r="I83"/>
  <c r="J83"/>
  <c r="K83"/>
  <c r="L83"/>
  <c r="M83"/>
  <c r="N83"/>
  <c r="O83"/>
  <c r="P83"/>
  <c r="Q83"/>
  <c r="R83"/>
  <c r="S83"/>
  <c r="T83"/>
  <c r="U83"/>
  <c r="V83"/>
  <c r="W83"/>
  <c r="X83"/>
  <c r="Y83"/>
  <c r="Z83"/>
  <c r="X31"/>
  <c r="D84"/>
  <c r="E84"/>
  <c r="F84"/>
  <c r="G84"/>
  <c r="H84"/>
  <c r="I84"/>
  <c r="J84"/>
  <c r="K84"/>
  <c r="L84"/>
  <c r="M84"/>
  <c r="N84"/>
  <c r="O84"/>
  <c r="P84"/>
  <c r="Q84"/>
  <c r="R84"/>
  <c r="S84"/>
  <c r="T84"/>
  <c r="U84"/>
  <c r="V84"/>
  <c r="W84"/>
  <c r="X84"/>
  <c r="Y84"/>
  <c r="Z84"/>
  <c r="Y31"/>
  <c r="D85"/>
  <c r="E85"/>
  <c r="F85"/>
  <c r="G85"/>
  <c r="H85"/>
  <c r="I85"/>
  <c r="J85"/>
  <c r="K85"/>
  <c r="L85"/>
  <c r="M85"/>
  <c r="N85"/>
  <c r="O85"/>
  <c r="P85"/>
  <c r="Q85"/>
  <c r="R85"/>
  <c r="S85"/>
  <c r="T85"/>
  <c r="U85"/>
  <c r="V85"/>
  <c r="W85"/>
  <c r="X85"/>
  <c r="Y85"/>
  <c r="Z85"/>
  <c r="Z31"/>
  <c r="D86"/>
  <c r="E86"/>
  <c r="F86"/>
  <c r="G86"/>
  <c r="H86"/>
  <c r="I86"/>
  <c r="J86"/>
  <c r="K86"/>
  <c r="L86"/>
  <c r="M86"/>
  <c r="N86"/>
  <c r="O86"/>
  <c r="P86"/>
  <c r="Q86"/>
  <c r="R86"/>
  <c r="S86"/>
  <c r="T86"/>
  <c r="U86"/>
  <c r="V86"/>
  <c r="W86"/>
  <c r="X86"/>
  <c r="Y86"/>
  <c r="Z86"/>
  <c r="D31"/>
  <c r="D64"/>
  <c r="E64"/>
  <c r="F64"/>
  <c r="G64"/>
  <c r="H64"/>
  <c r="I64"/>
  <c r="J64"/>
  <c r="K64"/>
  <c r="L64"/>
  <c r="M64"/>
  <c r="N64"/>
  <c r="O64"/>
  <c r="P64"/>
  <c r="Q64"/>
  <c r="R64"/>
  <c r="S64"/>
  <c r="T64"/>
  <c r="U64"/>
  <c r="V64"/>
  <c r="W64"/>
  <c r="X64"/>
  <c r="Y64"/>
  <c r="Z64"/>
  <c r="AB32"/>
  <c r="AB33"/>
  <c r="AB34"/>
  <c r="AB35"/>
  <c r="AB36"/>
  <c r="AB37"/>
  <c r="AB38"/>
  <c r="AB39"/>
  <c r="AB40"/>
  <c r="AB41"/>
  <c r="AB42"/>
  <c r="AB43"/>
  <c r="AB44"/>
  <c r="AB45"/>
  <c r="AB46"/>
  <c r="AB47"/>
  <c r="AB48"/>
  <c r="AB49"/>
  <c r="AB50"/>
  <c r="AB51"/>
  <c r="AB52"/>
  <c r="AB53"/>
  <c r="AB31"/>
  <c r="AB7"/>
  <c r="Y36"/>
  <c r="AB23"/>
  <c r="I52"/>
  <c r="AB3"/>
  <c r="J32"/>
  <c r="AB8"/>
  <c r="E37"/>
  <c r="M32"/>
  <c r="AB11"/>
  <c r="E40"/>
  <c r="L32"/>
  <c r="AB10"/>
  <c r="E39"/>
  <c r="AB6"/>
  <c r="K35"/>
  <c r="AB9"/>
  <c r="H38"/>
  <c r="R35"/>
  <c r="AB16"/>
  <c r="H45"/>
  <c r="Y102"/>
  <c r="J98"/>
  <c r="M98"/>
  <c r="L98"/>
  <c r="K101"/>
  <c r="R101"/>
  <c r="AB15"/>
  <c r="R44"/>
  <c r="Q45"/>
  <c r="N44"/>
  <c r="AB12"/>
  <c r="Q41"/>
  <c r="AB19"/>
  <c r="T48"/>
  <c r="AB18"/>
  <c r="U47"/>
  <c r="T114"/>
  <c r="R110"/>
  <c r="N110"/>
  <c r="D32"/>
  <c r="AB4"/>
  <c r="D33"/>
  <c r="F32"/>
  <c r="E33"/>
  <c r="G35"/>
  <c r="AB5"/>
  <c r="H34"/>
  <c r="G36"/>
  <c r="I34"/>
  <c r="H36"/>
  <c r="I35"/>
  <c r="AB13"/>
  <c r="L42"/>
  <c r="O39"/>
  <c r="M42"/>
  <c r="O40"/>
  <c r="P42"/>
  <c r="AB14"/>
  <c r="O43"/>
  <c r="Q34"/>
  <c r="G44"/>
  <c r="D42"/>
  <c r="N35"/>
  <c r="H41"/>
  <c r="O97"/>
  <c r="E97"/>
  <c r="F97"/>
  <c r="F98"/>
  <c r="G101"/>
  <c r="G102"/>
  <c r="H102"/>
  <c r="L108"/>
  <c r="M108"/>
  <c r="P108"/>
  <c r="Q100"/>
  <c r="N101"/>
  <c r="O42"/>
  <c r="O108"/>
  <c r="N42"/>
  <c r="O41"/>
  <c r="N108"/>
  <c r="AB24"/>
  <c r="Z53"/>
  <c r="Z119"/>
  <c r="Y53"/>
  <c r="Z52"/>
  <c r="Y119"/>
  <c r="X53"/>
  <c r="AB22"/>
  <c r="Z51"/>
  <c r="X119"/>
  <c r="W53"/>
  <c r="AB21"/>
  <c r="Z50"/>
  <c r="W119"/>
  <c r="V53"/>
  <c r="AB20"/>
  <c r="Z49"/>
  <c r="V119"/>
  <c r="U53"/>
  <c r="Z48"/>
  <c r="U119"/>
  <c r="T53"/>
  <c r="Z47"/>
  <c r="T119"/>
  <c r="S53"/>
  <c r="AB17"/>
  <c r="Z46"/>
  <c r="S119"/>
  <c r="R53"/>
  <c r="Z45"/>
  <c r="R119"/>
  <c r="Q53"/>
  <c r="Z44"/>
  <c r="Q119"/>
  <c r="P53"/>
  <c r="Z43"/>
  <c r="P119"/>
  <c r="O53"/>
  <c r="Z42"/>
  <c r="O119"/>
  <c r="N53"/>
  <c r="Z41"/>
  <c r="N119"/>
  <c r="M53"/>
  <c r="Z40"/>
  <c r="M119"/>
  <c r="L53"/>
  <c r="Z39"/>
  <c r="L119"/>
  <c r="K53"/>
  <c r="Z38"/>
  <c r="K119"/>
  <c r="J53"/>
  <c r="Z37"/>
  <c r="J119"/>
  <c r="I53"/>
  <c r="Z36"/>
  <c r="I119"/>
  <c r="H53"/>
  <c r="Z35"/>
  <c r="H119"/>
  <c r="G53"/>
  <c r="Z34"/>
  <c r="G119"/>
  <c r="F53"/>
  <c r="Z33"/>
  <c r="F119"/>
  <c r="E53"/>
  <c r="Z32"/>
  <c r="E119"/>
  <c r="D53"/>
  <c r="D119"/>
  <c r="Z118"/>
  <c r="Y52"/>
  <c r="Y118"/>
  <c r="X52"/>
  <c r="Y51"/>
  <c r="X118"/>
  <c r="W52"/>
  <c r="Y50"/>
  <c r="W118"/>
  <c r="V52"/>
  <c r="Y49"/>
  <c r="V118"/>
  <c r="U52"/>
  <c r="Y48"/>
  <c r="U118"/>
  <c r="T52"/>
  <c r="Y47"/>
  <c r="T118"/>
  <c r="S52"/>
  <c r="Y46"/>
  <c r="S118"/>
  <c r="R52"/>
  <c r="Y45"/>
  <c r="R118"/>
  <c r="Q52"/>
  <c r="Y44"/>
  <c r="Q118"/>
  <c r="P52"/>
  <c r="Y43"/>
  <c r="P118"/>
  <c r="O52"/>
  <c r="Y42"/>
  <c r="O118"/>
  <c r="N52"/>
  <c r="Y41"/>
  <c r="N118"/>
  <c r="M52"/>
  <c r="Y40"/>
  <c r="M118"/>
  <c r="L52"/>
  <c r="Y39"/>
  <c r="L118"/>
  <c r="K52"/>
  <c r="Y38"/>
  <c r="K118"/>
  <c r="J52"/>
  <c r="Y37"/>
  <c r="J118"/>
  <c r="I118"/>
  <c r="H52"/>
  <c r="Y35"/>
  <c r="H118"/>
  <c r="G52"/>
  <c r="Y34"/>
  <c r="G118"/>
  <c r="F52"/>
  <c r="Y33"/>
  <c r="F118"/>
  <c r="E52"/>
  <c r="Y32"/>
  <c r="E118"/>
  <c r="D52"/>
  <c r="D118"/>
  <c r="Z117"/>
  <c r="Y117"/>
  <c r="X51"/>
  <c r="X117"/>
  <c r="W51"/>
  <c r="X50"/>
  <c r="W117"/>
  <c r="V51"/>
  <c r="X49"/>
  <c r="V117"/>
  <c r="U51"/>
  <c r="X48"/>
  <c r="U117"/>
  <c r="T51"/>
  <c r="X47"/>
  <c r="T117"/>
  <c r="S51"/>
  <c r="X46"/>
  <c r="S117"/>
  <c r="R51"/>
  <c r="X45"/>
  <c r="R117"/>
  <c r="Q51"/>
  <c r="X44"/>
  <c r="Q117"/>
  <c r="P51"/>
  <c r="X43"/>
  <c r="P117"/>
  <c r="O51"/>
  <c r="X42"/>
  <c r="O117"/>
  <c r="N51"/>
  <c r="X41"/>
  <c r="N117"/>
  <c r="M51"/>
  <c r="X40"/>
  <c r="M117"/>
  <c r="L51"/>
  <c r="X39"/>
  <c r="L117"/>
  <c r="K51"/>
  <c r="X38"/>
  <c r="K117"/>
  <c r="J51"/>
  <c r="X37"/>
  <c r="J117"/>
  <c r="I51"/>
  <c r="X36"/>
  <c r="I117"/>
  <c r="H51"/>
  <c r="X35"/>
  <c r="H117"/>
  <c r="G51"/>
  <c r="X34"/>
  <c r="G117"/>
  <c r="F51"/>
  <c r="X33"/>
  <c r="F117"/>
  <c r="E51"/>
  <c r="X32"/>
  <c r="E117"/>
  <c r="D51"/>
  <c r="D117"/>
  <c r="Z116"/>
  <c r="Y116"/>
  <c r="X116"/>
  <c r="W50"/>
  <c r="W116"/>
  <c r="V50"/>
  <c r="W49"/>
  <c r="V116"/>
  <c r="U50"/>
  <c r="W48"/>
  <c r="U116"/>
  <c r="T50"/>
  <c r="W47"/>
  <c r="T116"/>
  <c r="S50"/>
  <c r="W46"/>
  <c r="S116"/>
  <c r="R50"/>
  <c r="W45"/>
  <c r="R116"/>
  <c r="Q50"/>
  <c r="W44"/>
  <c r="Q116"/>
  <c r="P50"/>
  <c r="W43"/>
  <c r="P116"/>
  <c r="O50"/>
  <c r="W42"/>
  <c r="O116"/>
  <c r="N50"/>
  <c r="W41"/>
  <c r="N116"/>
  <c r="M50"/>
  <c r="W40"/>
  <c r="M116"/>
  <c r="L50"/>
  <c r="W39"/>
  <c r="L116"/>
  <c r="K50"/>
  <c r="W38"/>
  <c r="K116"/>
  <c r="J50"/>
  <c r="W37"/>
  <c r="J116"/>
  <c r="I50"/>
  <c r="W36"/>
  <c r="I116"/>
  <c r="H50"/>
  <c r="W35"/>
  <c r="H116"/>
  <c r="G50"/>
  <c r="W34"/>
  <c r="G116"/>
  <c r="F50"/>
  <c r="W33"/>
  <c r="F116"/>
  <c r="E50"/>
  <c r="W32"/>
  <c r="E116"/>
  <c r="D50"/>
  <c r="D116"/>
  <c r="Z115"/>
  <c r="Y115"/>
  <c r="X115"/>
  <c r="W115"/>
  <c r="V49"/>
  <c r="V115"/>
  <c r="U49"/>
  <c r="V48"/>
  <c r="U115"/>
  <c r="T49"/>
  <c r="V47"/>
  <c r="T115"/>
  <c r="S49"/>
  <c r="V46"/>
  <c r="S115"/>
  <c r="R49"/>
  <c r="V45"/>
  <c r="R115"/>
  <c r="Q49"/>
  <c r="V44"/>
  <c r="Q115"/>
  <c r="P49"/>
  <c r="V43"/>
  <c r="P115"/>
  <c r="O49"/>
  <c r="V42"/>
  <c r="O115"/>
  <c r="N49"/>
  <c r="V41"/>
  <c r="N115"/>
  <c r="M49"/>
  <c r="V40"/>
  <c r="M115"/>
  <c r="L49"/>
  <c r="V39"/>
  <c r="L115"/>
  <c r="K49"/>
  <c r="V38"/>
  <c r="K115"/>
  <c r="J49"/>
  <c r="V37"/>
  <c r="J115"/>
  <c r="I49"/>
  <c r="V36"/>
  <c r="I115"/>
  <c r="H49"/>
  <c r="V35"/>
  <c r="H115"/>
  <c r="G49"/>
  <c r="V34"/>
  <c r="G115"/>
  <c r="F49"/>
  <c r="V33"/>
  <c r="F115"/>
  <c r="E49"/>
  <c r="V32"/>
  <c r="E115"/>
  <c r="D49"/>
  <c r="D115"/>
  <c r="Z114"/>
  <c r="Y114"/>
  <c r="X114"/>
  <c r="W114"/>
  <c r="V114"/>
  <c r="U48"/>
  <c r="U114"/>
  <c r="S48"/>
  <c r="U46"/>
  <c r="S114"/>
  <c r="R48"/>
  <c r="U45"/>
  <c r="R114"/>
  <c r="Q48"/>
  <c r="U44"/>
  <c r="Q114"/>
  <c r="P48"/>
  <c r="U43"/>
  <c r="P114"/>
  <c r="O48"/>
  <c r="U42"/>
  <c r="O114"/>
  <c r="N48"/>
  <c r="U41"/>
  <c r="N114"/>
  <c r="M48"/>
  <c r="U40"/>
  <c r="M114"/>
  <c r="L48"/>
  <c r="U39"/>
  <c r="L114"/>
  <c r="K48"/>
  <c r="U38"/>
  <c r="K114"/>
  <c r="J48"/>
  <c r="U37"/>
  <c r="J114"/>
  <c r="I48"/>
  <c r="U36"/>
  <c r="I114"/>
  <c r="H48"/>
  <c r="U35"/>
  <c r="H114"/>
  <c r="G48"/>
  <c r="U34"/>
  <c r="G114"/>
  <c r="F48"/>
  <c r="U33"/>
  <c r="F114"/>
  <c r="E48"/>
  <c r="U32"/>
  <c r="E114"/>
  <c r="D48"/>
  <c r="D114"/>
  <c r="Z113"/>
  <c r="Y113"/>
  <c r="X113"/>
  <c r="W113"/>
  <c r="V113"/>
  <c r="U113"/>
  <c r="T47"/>
  <c r="T113"/>
  <c r="S47"/>
  <c r="T46"/>
  <c r="S113"/>
  <c r="R47"/>
  <c r="T45"/>
  <c r="R113"/>
  <c r="Q47"/>
  <c r="T44"/>
  <c r="Q113"/>
  <c r="P47"/>
  <c r="T43"/>
  <c r="P113"/>
  <c r="O47"/>
  <c r="T42"/>
  <c r="O113"/>
  <c r="N47"/>
  <c r="T41"/>
  <c r="N113"/>
  <c r="M47"/>
  <c r="T40"/>
  <c r="M113"/>
  <c r="L47"/>
  <c r="T39"/>
  <c r="L113"/>
  <c r="K47"/>
  <c r="T38"/>
  <c r="K113"/>
  <c r="J47"/>
  <c r="T37"/>
  <c r="J113"/>
  <c r="I47"/>
  <c r="T36"/>
  <c r="I113"/>
  <c r="H47"/>
  <c r="T35"/>
  <c r="H113"/>
  <c r="G47"/>
  <c r="T34"/>
  <c r="G113"/>
  <c r="F47"/>
  <c r="T33"/>
  <c r="F113"/>
  <c r="E47"/>
  <c r="T32"/>
  <c r="E113"/>
  <c r="D47"/>
  <c r="D113"/>
  <c r="Z112"/>
  <c r="Y112"/>
  <c r="X112"/>
  <c r="W112"/>
  <c r="V112"/>
  <c r="U112"/>
  <c r="T112"/>
  <c r="S46"/>
  <c r="S112"/>
  <c r="R46"/>
  <c r="S45"/>
  <c r="R112"/>
  <c r="Q46"/>
  <c r="S44"/>
  <c r="Q112"/>
  <c r="P46"/>
  <c r="S43"/>
  <c r="P112"/>
  <c r="O46"/>
  <c r="S42"/>
  <c r="O112"/>
  <c r="N46"/>
  <c r="S41"/>
  <c r="N112"/>
  <c r="M46"/>
  <c r="S40"/>
  <c r="M112"/>
  <c r="L46"/>
  <c r="S39"/>
  <c r="L112"/>
  <c r="K46"/>
  <c r="S38"/>
  <c r="K112"/>
  <c r="J46"/>
  <c r="S37"/>
  <c r="J112"/>
  <c r="I46"/>
  <c r="S36"/>
  <c r="I112"/>
  <c r="H46"/>
  <c r="S35"/>
  <c r="H112"/>
  <c r="G46"/>
  <c r="S34"/>
  <c r="G112"/>
  <c r="F46"/>
  <c r="S33"/>
  <c r="F112"/>
  <c r="E46"/>
  <c r="S32"/>
  <c r="E112"/>
  <c r="D46"/>
  <c r="D112"/>
  <c r="Z111"/>
  <c r="Y111"/>
  <c r="X111"/>
  <c r="W111"/>
  <c r="V111"/>
  <c r="U111"/>
  <c r="T111"/>
  <c r="S111"/>
  <c r="R45"/>
  <c r="R111"/>
  <c r="Q111"/>
  <c r="P45"/>
  <c r="R43"/>
  <c r="P111"/>
  <c r="O45"/>
  <c r="R42"/>
  <c r="O111"/>
  <c r="N45"/>
  <c r="R41"/>
  <c r="N111"/>
  <c r="M45"/>
  <c r="R40"/>
  <c r="M111"/>
  <c r="L45"/>
  <c r="R39"/>
  <c r="L111"/>
  <c r="K45"/>
  <c r="R38"/>
  <c r="K111"/>
  <c r="J45"/>
  <c r="R37"/>
  <c r="J111"/>
  <c r="I45"/>
  <c r="R36"/>
  <c r="I111"/>
  <c r="H111"/>
  <c r="G45"/>
  <c r="R34"/>
  <c r="G111"/>
  <c r="F45"/>
  <c r="R33"/>
  <c r="F111"/>
  <c r="E45"/>
  <c r="R32"/>
  <c r="E111"/>
  <c r="D45"/>
  <c r="D111"/>
  <c r="Z110"/>
  <c r="Y110"/>
  <c r="X110"/>
  <c r="W110"/>
  <c r="V110"/>
  <c r="U110"/>
  <c r="T110"/>
  <c r="S110"/>
  <c r="Q44"/>
  <c r="Q110"/>
  <c r="P44"/>
  <c r="Q43"/>
  <c r="P110"/>
  <c r="O44"/>
  <c r="Q42"/>
  <c r="O110"/>
  <c r="M44"/>
  <c r="Q40"/>
  <c r="M110"/>
  <c r="L44"/>
  <c r="Q39"/>
  <c r="L110"/>
  <c r="K44"/>
  <c r="Q38"/>
  <c r="K110"/>
  <c r="J44"/>
  <c r="Q37"/>
  <c r="J110"/>
  <c r="I44"/>
  <c r="Q36"/>
  <c r="I110"/>
  <c r="H44"/>
  <c r="Q35"/>
  <c r="H110"/>
  <c r="G110"/>
  <c r="F44"/>
  <c r="Q33"/>
  <c r="F110"/>
  <c r="E44"/>
  <c r="Q32"/>
  <c r="E110"/>
  <c r="D44"/>
  <c r="D110"/>
  <c r="Z109"/>
  <c r="Y109"/>
  <c r="X109"/>
  <c r="W109"/>
  <c r="V109"/>
  <c r="U109"/>
  <c r="T109"/>
  <c r="S109"/>
  <c r="R109"/>
  <c r="Q109"/>
  <c r="P43"/>
  <c r="P109"/>
  <c r="O109"/>
  <c r="N43"/>
  <c r="P41"/>
  <c r="N109"/>
  <c r="M43"/>
  <c r="P40"/>
  <c r="M109"/>
  <c r="L43"/>
  <c r="P39"/>
  <c r="L109"/>
  <c r="K43"/>
  <c r="P38"/>
  <c r="K109"/>
  <c r="J43"/>
  <c r="P37"/>
  <c r="J109"/>
  <c r="I43"/>
  <c r="P36"/>
  <c r="I109"/>
  <c r="H43"/>
  <c r="P35"/>
  <c r="H109"/>
  <c r="G43"/>
  <c r="P34"/>
  <c r="G109"/>
  <c r="F43"/>
  <c r="P33"/>
  <c r="F109"/>
  <c r="E43"/>
  <c r="P32"/>
  <c r="E109"/>
  <c r="D43"/>
  <c r="D109"/>
  <c r="Z108"/>
  <c r="Y108"/>
  <c r="X108"/>
  <c r="W108"/>
  <c r="V108"/>
  <c r="U108"/>
  <c r="T108"/>
  <c r="S108"/>
  <c r="R108"/>
  <c r="Q108"/>
  <c r="K42"/>
  <c r="O38"/>
  <c r="K108"/>
  <c r="J42"/>
  <c r="O37"/>
  <c r="J108"/>
  <c r="I42"/>
  <c r="O36"/>
  <c r="I108"/>
  <c r="H42"/>
  <c r="O35"/>
  <c r="H108"/>
  <c r="G42"/>
  <c r="O34"/>
  <c r="G108"/>
  <c r="F42"/>
  <c r="O33"/>
  <c r="F108"/>
  <c r="E42"/>
  <c r="O32"/>
  <c r="E108"/>
  <c r="D108"/>
  <c r="Z107"/>
  <c r="Y107"/>
  <c r="X107"/>
  <c r="W107"/>
  <c r="V107"/>
  <c r="U107"/>
  <c r="T107"/>
  <c r="S107"/>
  <c r="R107"/>
  <c r="Q107"/>
  <c r="P107"/>
  <c r="O107"/>
  <c r="N41"/>
  <c r="N107"/>
  <c r="M41"/>
  <c r="N40"/>
  <c r="M107"/>
  <c r="L41"/>
  <c r="N39"/>
  <c r="L107"/>
  <c r="K41"/>
  <c r="N38"/>
  <c r="K107"/>
  <c r="J41"/>
  <c r="N37"/>
  <c r="J107"/>
  <c r="I41"/>
  <c r="N36"/>
  <c r="I107"/>
  <c r="H107"/>
  <c r="G41"/>
  <c r="N34"/>
  <c r="G107"/>
  <c r="F41"/>
  <c r="N33"/>
  <c r="F107"/>
  <c r="E41"/>
  <c r="N32"/>
  <c r="E107"/>
  <c r="D41"/>
  <c r="D107"/>
  <c r="Z106"/>
  <c r="Y106"/>
  <c r="X106"/>
  <c r="W106"/>
  <c r="V106"/>
  <c r="U106"/>
  <c r="T106"/>
  <c r="S106"/>
  <c r="R106"/>
  <c r="Q106"/>
  <c r="P106"/>
  <c r="O106"/>
  <c r="N106"/>
  <c r="M40"/>
  <c r="M106"/>
  <c r="L40"/>
  <c r="M39"/>
  <c r="L106"/>
  <c r="K40"/>
  <c r="M38"/>
  <c r="K106"/>
  <c r="J40"/>
  <c r="M37"/>
  <c r="J106"/>
  <c r="I40"/>
  <c r="M36"/>
  <c r="I106"/>
  <c r="H40"/>
  <c r="M35"/>
  <c r="H106"/>
  <c r="G40"/>
  <c r="M34"/>
  <c r="G106"/>
  <c r="F40"/>
  <c r="M33"/>
  <c r="F106"/>
  <c r="E106"/>
  <c r="D40"/>
  <c r="D106"/>
  <c r="Z105"/>
  <c r="Y105"/>
  <c r="X105"/>
  <c r="W105"/>
  <c r="V105"/>
  <c r="U105"/>
  <c r="T105"/>
  <c r="S105"/>
  <c r="R105"/>
  <c r="Q105"/>
  <c r="P105"/>
  <c r="O105"/>
  <c r="N105"/>
  <c r="M105"/>
  <c r="L39"/>
  <c r="L105"/>
  <c r="K39"/>
  <c r="L38"/>
  <c r="K105"/>
  <c r="J39"/>
  <c r="L37"/>
  <c r="J105"/>
  <c r="I39"/>
  <c r="L36"/>
  <c r="I105"/>
  <c r="H39"/>
  <c r="L35"/>
  <c r="H105"/>
  <c r="G39"/>
  <c r="L34"/>
  <c r="G105"/>
  <c r="F39"/>
  <c r="L33"/>
  <c r="F105"/>
  <c r="E105"/>
  <c r="D39"/>
  <c r="D105"/>
  <c r="Z104"/>
  <c r="Y104"/>
  <c r="X104"/>
  <c r="W104"/>
  <c r="V104"/>
  <c r="U104"/>
  <c r="T104"/>
  <c r="S104"/>
  <c r="R104"/>
  <c r="Q104"/>
  <c r="P104"/>
  <c r="O104"/>
  <c r="N104"/>
  <c r="M104"/>
  <c r="L104"/>
  <c r="K38"/>
  <c r="K104"/>
  <c r="J38"/>
  <c r="K37"/>
  <c r="J104"/>
  <c r="I38"/>
  <c r="K36"/>
  <c r="I104"/>
  <c r="H104"/>
  <c r="G38"/>
  <c r="K34"/>
  <c r="G104"/>
  <c r="F38"/>
  <c r="K33"/>
  <c r="F104"/>
  <c r="E38"/>
  <c r="K32"/>
  <c r="E104"/>
  <c r="D38"/>
  <c r="D104"/>
  <c r="Z103"/>
  <c r="Y103"/>
  <c r="X103"/>
  <c r="W103"/>
  <c r="V103"/>
  <c r="U103"/>
  <c r="T103"/>
  <c r="S103"/>
  <c r="R103"/>
  <c r="Q103"/>
  <c r="P103"/>
  <c r="O103"/>
  <c r="N103"/>
  <c r="M103"/>
  <c r="L103"/>
  <c r="K103"/>
  <c r="J37"/>
  <c r="J103"/>
  <c r="I37"/>
  <c r="J36"/>
  <c r="I103"/>
  <c r="H37"/>
  <c r="J35"/>
  <c r="H103"/>
  <c r="G37"/>
  <c r="J34"/>
  <c r="G103"/>
  <c r="F37"/>
  <c r="J33"/>
  <c r="F103"/>
  <c r="E103"/>
  <c r="D37"/>
  <c r="D103"/>
  <c r="Z102"/>
  <c r="X102"/>
  <c r="W102"/>
  <c r="V102"/>
  <c r="U102"/>
  <c r="T102"/>
  <c r="S102"/>
  <c r="R102"/>
  <c r="Q102"/>
  <c r="P102"/>
  <c r="O102"/>
  <c r="N102"/>
  <c r="M102"/>
  <c r="L102"/>
  <c r="K102"/>
  <c r="J102"/>
  <c r="I36"/>
  <c r="I102"/>
  <c r="F36"/>
  <c r="I33"/>
  <c r="F102"/>
  <c r="E36"/>
  <c r="I32"/>
  <c r="E102"/>
  <c r="D36"/>
  <c r="D102"/>
  <c r="Z101"/>
  <c r="Y101"/>
  <c r="X101"/>
  <c r="W101"/>
  <c r="V101"/>
  <c r="U101"/>
  <c r="T101"/>
  <c r="S101"/>
  <c r="Q101"/>
  <c r="P101"/>
  <c r="O101"/>
  <c r="M101"/>
  <c r="L101"/>
  <c r="J101"/>
  <c r="I101"/>
  <c r="H35"/>
  <c r="H101"/>
  <c r="F35"/>
  <c r="H33"/>
  <c r="F101"/>
  <c r="E35"/>
  <c r="H32"/>
  <c r="E101"/>
  <c r="D35"/>
  <c r="D101"/>
  <c r="Z100"/>
  <c r="Y100"/>
  <c r="X100"/>
  <c r="W100"/>
  <c r="V100"/>
  <c r="U100"/>
  <c r="T100"/>
  <c r="S100"/>
  <c r="R100"/>
  <c r="P100"/>
  <c r="O100"/>
  <c r="N100"/>
  <c r="M100"/>
  <c r="L100"/>
  <c r="K100"/>
  <c r="J100"/>
  <c r="I100"/>
  <c r="H100"/>
  <c r="G34"/>
  <c r="G100"/>
  <c r="F34"/>
  <c r="G33"/>
  <c r="F100"/>
  <c r="E34"/>
  <c r="G32"/>
  <c r="E100"/>
  <c r="D34"/>
  <c r="D100"/>
  <c r="Z99"/>
  <c r="Y99"/>
  <c r="X99"/>
  <c r="W99"/>
  <c r="V99"/>
  <c r="U99"/>
  <c r="T99"/>
  <c r="S99"/>
  <c r="R99"/>
  <c r="Q99"/>
  <c r="P99"/>
  <c r="O99"/>
  <c r="N99"/>
  <c r="M99"/>
  <c r="L99"/>
  <c r="K99"/>
  <c r="J99"/>
  <c r="I99"/>
  <c r="H99"/>
  <c r="G99"/>
  <c r="F33"/>
  <c r="F99"/>
  <c r="E99"/>
  <c r="D99"/>
  <c r="Z98"/>
  <c r="Y98"/>
  <c r="X98"/>
  <c r="W98"/>
  <c r="V98"/>
  <c r="U98"/>
  <c r="T98"/>
  <c r="S98"/>
  <c r="R98"/>
  <c r="Q98"/>
  <c r="P98"/>
  <c r="O98"/>
  <c r="N98"/>
  <c r="K98"/>
  <c r="I98"/>
  <c r="H98"/>
  <c r="G98"/>
  <c r="E32"/>
  <c r="E98"/>
  <c r="D98"/>
  <c r="Z97"/>
  <c r="Y97"/>
  <c r="X97"/>
  <c r="W97"/>
  <c r="V97"/>
  <c r="U97"/>
  <c r="T97"/>
  <c r="S97"/>
  <c r="R97"/>
  <c r="Q97"/>
  <c r="P97"/>
  <c r="N97"/>
  <c r="M97"/>
  <c r="L97"/>
  <c r="K97"/>
  <c r="J97"/>
  <c r="I97"/>
  <c r="H97"/>
  <c r="G97"/>
  <c r="D97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W26"/>
  <c r="X26"/>
  <c r="Y26"/>
  <c r="Z26"/>
  <c r="D26"/>
</calcChain>
</file>

<file path=xl/comments1.xml><?xml version="1.0" encoding="utf-8"?>
<comments xmlns="http://schemas.openxmlformats.org/spreadsheetml/2006/main">
  <authors>
    <author>Larry Brancazio</author>
  </authors>
  <commentList>
    <comment ref="Q16" authorId="0">
      <text>
        <r>
          <rPr>
            <b/>
            <sz val="9"/>
            <color indexed="81"/>
            <rFont val="Calibri"/>
            <family val="2"/>
          </rPr>
          <t>Larry Brancazio:</t>
        </r>
        <r>
          <rPr>
            <sz val="9"/>
            <color indexed="81"/>
            <rFont val="Calibri"/>
            <family val="2"/>
          </rPr>
          <t xml:space="preserve">
changed from 36 to 136:  had 170 for row total and 113 for column tota</t>
        </r>
      </text>
    </comment>
    <comment ref="D60" authorId="0">
      <text>
        <r>
          <rPr>
            <b/>
            <sz val="9"/>
            <color indexed="81"/>
            <rFont val="Calibri"/>
            <family val="2"/>
          </rPr>
          <t>Larry Brancazio:</t>
        </r>
        <r>
          <rPr>
            <sz val="9"/>
            <color indexed="81"/>
            <rFont val="Calibri"/>
            <family val="2"/>
          </rPr>
          <t xml:space="preserve">
Refer to column numbers where percent responses are found  (4 = D, 5=E, etc)</t>
        </r>
      </text>
    </comment>
    <comment ref="D61" authorId="0">
      <text>
        <r>
          <rPr>
            <b/>
            <sz val="9"/>
            <color indexed="81"/>
            <rFont val="Calibri"/>
            <family val="2"/>
          </rPr>
          <t>Larry Brancazio:</t>
        </r>
        <r>
          <rPr>
            <sz val="9"/>
            <color indexed="81"/>
            <rFont val="Calibri"/>
            <family val="2"/>
          </rPr>
          <t xml:space="preserve">
Refer to row numbers where percent responses are found</t>
        </r>
      </text>
    </comment>
    <comment ref="A64" authorId="0">
      <text>
        <r>
          <rPr>
            <b/>
            <sz val="9"/>
            <color indexed="81"/>
            <rFont val="Calibri"/>
            <family val="2"/>
          </rPr>
          <t>Larry Brancazio:</t>
        </r>
        <r>
          <rPr>
            <sz val="9"/>
            <color indexed="81"/>
            <rFont val="Calibri"/>
            <family val="2"/>
          </rPr>
          <t xml:space="preserve">
Values are paste-transposed from values above table</t>
        </r>
      </text>
    </comment>
    <comment ref="D93" authorId="0">
      <text>
        <r>
          <rPr>
            <b/>
            <sz val="9"/>
            <color indexed="81"/>
            <rFont val="Calibri"/>
            <family val="2"/>
          </rPr>
          <t>Larry Brancazio:</t>
        </r>
        <r>
          <rPr>
            <sz val="9"/>
            <color indexed="81"/>
            <rFont val="Calibri"/>
            <family val="2"/>
          </rPr>
          <t xml:space="preserve">
Refer to column numbers where percent responses are found  (4 = D, 5=E, etc)</t>
        </r>
      </text>
    </comment>
    <comment ref="D94" authorId="0">
      <text>
        <r>
          <rPr>
            <b/>
            <sz val="9"/>
            <color indexed="81"/>
            <rFont val="Calibri"/>
            <family val="2"/>
          </rPr>
          <t>Larry Brancazio:</t>
        </r>
        <r>
          <rPr>
            <sz val="9"/>
            <color indexed="81"/>
            <rFont val="Calibri"/>
            <family val="2"/>
          </rPr>
          <t xml:space="preserve">
Refer to row numbers where percent responses are found</t>
        </r>
      </text>
    </comment>
    <comment ref="A97" authorId="0">
      <text>
        <r>
          <rPr>
            <b/>
            <sz val="9"/>
            <color indexed="81"/>
            <rFont val="Calibri"/>
            <family val="2"/>
          </rPr>
          <t>Larry Brancazio:</t>
        </r>
        <r>
          <rPr>
            <sz val="9"/>
            <color indexed="81"/>
            <rFont val="Calibri"/>
            <family val="2"/>
          </rPr>
          <t xml:space="preserve">
Paste transposed from above</t>
        </r>
      </text>
    </comment>
  </commentList>
</comments>
</file>

<file path=xl/sharedStrings.xml><?xml version="1.0" encoding="utf-8"?>
<sst xmlns="http://schemas.openxmlformats.org/spreadsheetml/2006/main" count="219" uniqueCount="54">
  <si>
    <t>p</t>
  </si>
  <si>
    <t>t</t>
  </si>
  <si>
    <t>k</t>
  </si>
  <si>
    <t>b</t>
  </si>
  <si>
    <t>d</t>
  </si>
  <si>
    <t>g</t>
  </si>
  <si>
    <t>C</t>
  </si>
  <si>
    <t>J</t>
  </si>
  <si>
    <t>s</t>
  </si>
  <si>
    <t>S</t>
  </si>
  <si>
    <t>z</t>
  </si>
  <si>
    <t>f</t>
  </si>
  <si>
    <t>T</t>
  </si>
  <si>
    <t>v</t>
  </si>
  <si>
    <t>D</t>
  </si>
  <si>
    <t>h</t>
  </si>
  <si>
    <t>n</t>
  </si>
  <si>
    <t>m</t>
  </si>
  <si>
    <t>l</t>
  </si>
  <si>
    <t>r</t>
  </si>
  <si>
    <t>w</t>
  </si>
  <si>
    <t>y</t>
  </si>
  <si>
    <t>none</t>
  </si>
  <si>
    <t>+5</t>
  </si>
  <si>
    <t>Sum</t>
  </si>
  <si>
    <r>
      <rPr>
        <b/>
        <sz val="12"/>
        <color indexed="8"/>
        <rFont val="Calibri"/>
        <family val="2"/>
      </rPr>
      <t>Averages</t>
    </r>
    <r>
      <rPr>
        <sz val="12"/>
        <color indexed="8"/>
        <rFont val="Calibri"/>
        <family val="2"/>
      </rPr>
      <t xml:space="preserve"> of reciprocal confusions (e.g., mean of  p(/t/ | /k/) and p(/k/ | /p/) )</t>
    </r>
  </si>
  <si>
    <r>
      <rPr>
        <b/>
        <sz val="12"/>
        <color indexed="8"/>
        <rFont val="Calibri"/>
        <family val="2"/>
      </rPr>
      <t>Maximum</t>
    </r>
    <r>
      <rPr>
        <sz val="12"/>
        <color indexed="8"/>
        <rFont val="Calibri"/>
        <family val="2"/>
      </rPr>
      <t xml:space="preserve"> of reciprocal confusions (e.g., larger of  p(/t/ | /k/) and p(/k/ | /p/) )</t>
    </r>
  </si>
  <si>
    <t>Converted to % of total responses</t>
  </si>
  <si>
    <t>Our critical phoneme pairs:</t>
  </si>
  <si>
    <t>f-v  (f-v) f: th(T), s, S; v: th(D), z, Z(3)</t>
  </si>
  <si>
    <t>s-z  (s-z) s:t f T h S; z:d,r,l</t>
  </si>
  <si>
    <t>p-b  (p-b) p:t k;  b: d g m</t>
  </si>
  <si>
    <t xml:space="preserve">t-d  (t-d) t:p k s;d: b g n z r l  </t>
  </si>
  <si>
    <t xml:space="preserve">k-g  (k-g) k:p t; g: b d </t>
  </si>
  <si>
    <t>m-n (m-n-G) m: b; n: d z r l</t>
  </si>
  <si>
    <t>p-t (p-t): p:k, b; t:s, d</t>
  </si>
  <si>
    <t>p-k (p-k): p:t, b; k:g</t>
  </si>
  <si>
    <t>t-k (t-k): t:s, d, p; k:g, p</t>
  </si>
  <si>
    <t>b-d (b-d): b:p, m, g; d:t, n, z, r, l, g</t>
  </si>
  <si>
    <t xml:space="preserve">b-g (b-g): b:p, m, d; g:k, d, </t>
  </si>
  <si>
    <t>d-g (d-g): d:t, b, n, z, r, l; g:k, b</t>
  </si>
  <si>
    <t>th-th (T-D): T:f, s, S, h; D"v, z, Z(3)</t>
  </si>
  <si>
    <t>s-sh  (s-S): s:f,T,t, h; S:f,T, h</t>
  </si>
  <si>
    <t>z-v   (z-v): z:D,S,d,n,r,l; v:D,Z(3),f</t>
  </si>
  <si>
    <t>b-m   (b-m): b:p,d,g; m:n</t>
  </si>
  <si>
    <t>s-f   (s-f): s:z,t,T,h,S; f:v,T,S,h</t>
  </si>
  <si>
    <t>r-l (r-l): r:w,j,z,n,d; l:z,n,d,</t>
  </si>
  <si>
    <t>r-w (r-w): r:l,z,n,d,j; w:j,g</t>
  </si>
  <si>
    <t>l-w (l-w): l:r,z,n,d; w:g,j,r</t>
  </si>
  <si>
    <t>Concerns:</t>
  </si>
  <si>
    <t>1) Only covers the +5 S/N table from Luce (table 3.4)</t>
  </si>
  <si>
    <t>2) Only looks at initital consonants</t>
  </si>
  <si>
    <t>3) There are also tables for final consonants</t>
  </si>
  <si>
    <t>should we avergae the two?</t>
  </si>
</sst>
</file>

<file path=xl/styles.xml><?xml version="1.0" encoding="utf-8"?>
<styleSheet xmlns="http://schemas.openxmlformats.org/spreadsheetml/2006/main">
  <fonts count="5"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9"/>
      <color indexed="81"/>
      <name val="Calibri"/>
      <family val="2"/>
    </font>
    <font>
      <b/>
      <sz val="9"/>
      <color indexed="81"/>
      <name val="Calibri"/>
      <family val="2"/>
    </font>
    <font>
      <sz val="8"/>
      <name val="Verdana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quotePrefix="1"/>
    <xf numFmtId="1" fontId="0" fillId="0" borderId="0" xfId="0" applyNumberFormat="1"/>
    <xf numFmtId="1" fontId="0" fillId="2" borderId="0" xfId="0" applyNumberFormat="1" applyFill="1"/>
    <xf numFmtId="1" fontId="0" fillId="3" borderId="0" xfId="0" applyNumberFormat="1" applyFill="1"/>
    <xf numFmtId="1" fontId="0" fillId="0" borderId="0" xfId="0" applyNumberFormat="1" applyFill="1"/>
    <xf numFmtId="0" fontId="1" fillId="2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12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H128"/>
  <sheetViews>
    <sheetView tabSelected="1" topLeftCell="A18" workbookViewId="0">
      <selection activeCell="AF36" sqref="AF36"/>
    </sheetView>
  </sheetViews>
  <sheetFormatPr baseColWidth="10" defaultRowHeight="15"/>
  <cols>
    <col min="1" max="1" width="7.5" customWidth="1"/>
    <col min="2" max="2" width="6.5" customWidth="1"/>
    <col min="3" max="3" width="4.5" customWidth="1"/>
    <col min="4" max="4" width="5.83203125" customWidth="1"/>
    <col min="5" max="26" width="4.5" customWidth="1"/>
    <col min="27" max="27" width="5.33203125" customWidth="1"/>
    <col min="28" max="28" width="4.6640625" customWidth="1"/>
    <col min="29" max="29" width="5.83203125" customWidth="1"/>
    <col min="30" max="31" width="6" customWidth="1"/>
    <col min="32" max="32" width="11.1640625" customWidth="1"/>
    <col min="33" max="33" width="11.5" customWidth="1"/>
    <col min="34" max="34" width="9.6640625" customWidth="1"/>
  </cols>
  <sheetData>
    <row r="1" spans="3:34">
      <c r="C1" s="1" t="s">
        <v>23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B1" t="s">
        <v>24</v>
      </c>
    </row>
    <row r="2" spans="3:34">
      <c r="C2" t="s">
        <v>0</v>
      </c>
      <c r="D2">
        <v>40</v>
      </c>
      <c r="E2">
        <v>55</v>
      </c>
      <c r="F2">
        <v>30</v>
      </c>
      <c r="G2">
        <v>2</v>
      </c>
      <c r="H2">
        <v>0</v>
      </c>
      <c r="I2">
        <v>0</v>
      </c>
      <c r="J2">
        <v>1</v>
      </c>
      <c r="K2">
        <v>0</v>
      </c>
      <c r="L2">
        <v>1</v>
      </c>
      <c r="M2">
        <v>0</v>
      </c>
      <c r="N2">
        <v>0</v>
      </c>
      <c r="O2">
        <v>5</v>
      </c>
      <c r="P2">
        <v>1</v>
      </c>
      <c r="Q2">
        <v>3</v>
      </c>
      <c r="R2">
        <v>0</v>
      </c>
      <c r="S2">
        <v>5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6</v>
      </c>
      <c r="AB2">
        <f>SUM(D2:Z2)</f>
        <v>150</v>
      </c>
    </row>
    <row r="3" spans="3:34">
      <c r="C3" t="s">
        <v>1</v>
      </c>
      <c r="D3">
        <v>4</v>
      </c>
      <c r="E3">
        <v>103</v>
      </c>
      <c r="F3">
        <v>24</v>
      </c>
      <c r="G3">
        <v>0</v>
      </c>
      <c r="H3">
        <v>3</v>
      </c>
      <c r="I3">
        <v>0</v>
      </c>
      <c r="J3">
        <v>3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2</v>
      </c>
      <c r="S3">
        <v>1</v>
      </c>
      <c r="T3">
        <v>0</v>
      </c>
      <c r="U3">
        <v>1</v>
      </c>
      <c r="V3">
        <v>0</v>
      </c>
      <c r="W3">
        <v>3</v>
      </c>
      <c r="X3">
        <v>0</v>
      </c>
      <c r="Y3">
        <v>0</v>
      </c>
      <c r="Z3">
        <v>4</v>
      </c>
      <c r="AB3">
        <f t="shared" ref="AB3:AB24" si="0">SUM(D3:Z3)</f>
        <v>150</v>
      </c>
    </row>
    <row r="4" spans="3:34">
      <c r="C4" t="s">
        <v>2</v>
      </c>
      <c r="D4">
        <v>12</v>
      </c>
      <c r="E4">
        <v>20</v>
      </c>
      <c r="F4">
        <v>102</v>
      </c>
      <c r="G4">
        <v>4</v>
      </c>
      <c r="H4">
        <v>1</v>
      </c>
      <c r="I4">
        <v>0</v>
      </c>
      <c r="J4">
        <v>4</v>
      </c>
      <c r="K4">
        <v>1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3</v>
      </c>
      <c r="AB4">
        <f t="shared" si="0"/>
        <v>150</v>
      </c>
    </row>
    <row r="5" spans="3:34">
      <c r="C5" t="s">
        <v>3</v>
      </c>
      <c r="D5">
        <v>9</v>
      </c>
      <c r="E5">
        <v>6</v>
      </c>
      <c r="F5">
        <v>7</v>
      </c>
      <c r="G5">
        <v>39</v>
      </c>
      <c r="H5">
        <v>30</v>
      </c>
      <c r="I5">
        <v>10</v>
      </c>
      <c r="J5">
        <v>1</v>
      </c>
      <c r="K5">
        <v>1</v>
      </c>
      <c r="L5">
        <v>2</v>
      </c>
      <c r="M5">
        <v>0</v>
      </c>
      <c r="N5">
        <v>0</v>
      </c>
      <c r="O5">
        <v>11</v>
      </c>
      <c r="P5">
        <v>3</v>
      </c>
      <c r="Q5">
        <v>9</v>
      </c>
      <c r="R5">
        <v>12</v>
      </c>
      <c r="S5">
        <v>0</v>
      </c>
      <c r="T5">
        <v>0</v>
      </c>
      <c r="U5">
        <v>0</v>
      </c>
      <c r="V5">
        <v>3</v>
      </c>
      <c r="W5">
        <v>1</v>
      </c>
      <c r="X5">
        <v>1</v>
      </c>
      <c r="Y5">
        <v>1</v>
      </c>
      <c r="Z5">
        <v>4</v>
      </c>
      <c r="AB5">
        <f t="shared" si="0"/>
        <v>150</v>
      </c>
    </row>
    <row r="6" spans="3:34">
      <c r="C6" t="s">
        <v>4</v>
      </c>
      <c r="D6">
        <v>1</v>
      </c>
      <c r="E6">
        <v>6</v>
      </c>
      <c r="F6">
        <v>0</v>
      </c>
      <c r="G6">
        <v>4</v>
      </c>
      <c r="H6">
        <v>114</v>
      </c>
      <c r="I6">
        <v>5</v>
      </c>
      <c r="J6">
        <v>2</v>
      </c>
      <c r="K6">
        <v>3</v>
      </c>
      <c r="L6">
        <v>3</v>
      </c>
      <c r="M6">
        <v>0</v>
      </c>
      <c r="N6">
        <v>1</v>
      </c>
      <c r="O6">
        <v>1</v>
      </c>
      <c r="P6">
        <v>5</v>
      </c>
      <c r="Q6">
        <v>0</v>
      </c>
      <c r="R6">
        <v>4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B6">
        <f t="shared" si="0"/>
        <v>150</v>
      </c>
    </row>
    <row r="7" spans="3:34">
      <c r="C7" t="s">
        <v>5</v>
      </c>
      <c r="D7">
        <v>1</v>
      </c>
      <c r="E7">
        <v>0</v>
      </c>
      <c r="F7">
        <v>1</v>
      </c>
      <c r="G7">
        <v>7</v>
      </c>
      <c r="H7">
        <v>21</v>
      </c>
      <c r="I7">
        <v>74</v>
      </c>
      <c r="J7">
        <v>0</v>
      </c>
      <c r="K7">
        <v>3</v>
      </c>
      <c r="L7">
        <v>3</v>
      </c>
      <c r="M7">
        <v>0</v>
      </c>
      <c r="N7">
        <v>0</v>
      </c>
      <c r="O7">
        <v>1</v>
      </c>
      <c r="P7">
        <v>0</v>
      </c>
      <c r="Q7">
        <v>8</v>
      </c>
      <c r="R7">
        <v>1</v>
      </c>
      <c r="S7">
        <v>2</v>
      </c>
      <c r="T7">
        <v>0</v>
      </c>
      <c r="U7">
        <v>0</v>
      </c>
      <c r="V7">
        <v>0</v>
      </c>
      <c r="W7">
        <v>2</v>
      </c>
      <c r="X7">
        <v>5</v>
      </c>
      <c r="Y7">
        <v>17</v>
      </c>
      <c r="Z7">
        <v>4</v>
      </c>
      <c r="AB7">
        <f t="shared" si="0"/>
        <v>150</v>
      </c>
    </row>
    <row r="8" spans="3:34">
      <c r="C8" t="s">
        <v>6</v>
      </c>
      <c r="D8">
        <v>0</v>
      </c>
      <c r="E8">
        <v>7</v>
      </c>
      <c r="F8">
        <v>1</v>
      </c>
      <c r="G8">
        <v>0</v>
      </c>
      <c r="H8">
        <v>0</v>
      </c>
      <c r="I8">
        <v>0</v>
      </c>
      <c r="J8">
        <v>138</v>
      </c>
      <c r="K8">
        <v>0</v>
      </c>
      <c r="L8">
        <v>0</v>
      </c>
      <c r="M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B8">
        <f t="shared" si="0"/>
        <v>150</v>
      </c>
    </row>
    <row r="9" spans="3:34" ht="16" thickBot="1">
      <c r="C9" t="s">
        <v>7</v>
      </c>
      <c r="D9">
        <v>0</v>
      </c>
      <c r="E9">
        <v>1</v>
      </c>
      <c r="F9">
        <v>0</v>
      </c>
      <c r="G9">
        <v>0</v>
      </c>
      <c r="H9">
        <v>3</v>
      </c>
      <c r="I9">
        <v>10</v>
      </c>
      <c r="J9">
        <v>4</v>
      </c>
      <c r="K9">
        <v>130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B9">
        <f t="shared" si="0"/>
        <v>150</v>
      </c>
      <c r="AF9" t="s">
        <v>28</v>
      </c>
    </row>
    <row r="10" spans="3:34">
      <c r="C10" t="s">
        <v>8</v>
      </c>
      <c r="D10">
        <v>3</v>
      </c>
      <c r="E10">
        <v>18</v>
      </c>
      <c r="F10">
        <v>1</v>
      </c>
      <c r="G10">
        <v>3</v>
      </c>
      <c r="H10">
        <v>7</v>
      </c>
      <c r="I10">
        <v>0</v>
      </c>
      <c r="J10">
        <v>9</v>
      </c>
      <c r="K10">
        <v>3</v>
      </c>
      <c r="L10">
        <v>55</v>
      </c>
      <c r="M10">
        <v>1</v>
      </c>
      <c r="N10">
        <v>16</v>
      </c>
      <c r="O10">
        <v>11</v>
      </c>
      <c r="P10">
        <v>13</v>
      </c>
      <c r="Q10">
        <v>0</v>
      </c>
      <c r="R10">
        <v>7</v>
      </c>
      <c r="S10">
        <v>0</v>
      </c>
      <c r="T10">
        <v>1</v>
      </c>
      <c r="U10">
        <v>1</v>
      </c>
      <c r="V10">
        <v>0</v>
      </c>
      <c r="W10">
        <v>0</v>
      </c>
      <c r="X10">
        <v>0</v>
      </c>
      <c r="Y10">
        <v>1</v>
      </c>
      <c r="Z10">
        <v>0</v>
      </c>
      <c r="AB10">
        <f t="shared" si="0"/>
        <v>150</v>
      </c>
      <c r="AF10" s="10" t="s">
        <v>29</v>
      </c>
      <c r="AG10" s="11"/>
      <c r="AH10" s="12"/>
    </row>
    <row r="11" spans="3:34">
      <c r="C11" t="s">
        <v>9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  <c r="K11">
        <v>3</v>
      </c>
      <c r="L11">
        <v>2</v>
      </c>
      <c r="M11">
        <v>62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B11">
        <f t="shared" si="0"/>
        <v>150</v>
      </c>
      <c r="AF11" s="13" t="s">
        <v>30</v>
      </c>
      <c r="AG11" s="14"/>
      <c r="AH11" s="15"/>
    </row>
    <row r="12" spans="3:34">
      <c r="C12" t="s">
        <v>10</v>
      </c>
      <c r="D12">
        <v>0</v>
      </c>
      <c r="E12">
        <v>1</v>
      </c>
      <c r="F12">
        <v>1</v>
      </c>
      <c r="G12">
        <v>2</v>
      </c>
      <c r="H12">
        <v>24</v>
      </c>
      <c r="I12">
        <v>15</v>
      </c>
      <c r="J12">
        <v>0</v>
      </c>
      <c r="K12">
        <v>4</v>
      </c>
      <c r="L12">
        <v>9</v>
      </c>
      <c r="M12">
        <v>0</v>
      </c>
      <c r="N12">
        <v>45</v>
      </c>
      <c r="O12">
        <v>0</v>
      </c>
      <c r="P12">
        <v>12</v>
      </c>
      <c r="Q12">
        <v>9</v>
      </c>
      <c r="R12">
        <v>21</v>
      </c>
      <c r="S12">
        <v>0</v>
      </c>
      <c r="T12">
        <v>0</v>
      </c>
      <c r="U12">
        <v>0</v>
      </c>
      <c r="V12">
        <v>1</v>
      </c>
      <c r="W12">
        <v>3</v>
      </c>
      <c r="X12">
        <v>1</v>
      </c>
      <c r="Y12">
        <v>2</v>
      </c>
      <c r="Z12">
        <v>0</v>
      </c>
      <c r="AB12">
        <f t="shared" si="0"/>
        <v>150</v>
      </c>
      <c r="AF12" s="13" t="s">
        <v>31</v>
      </c>
      <c r="AG12" s="14"/>
      <c r="AH12" s="15"/>
    </row>
    <row r="13" spans="3:34">
      <c r="C13" t="s">
        <v>11</v>
      </c>
      <c r="D13">
        <v>14</v>
      </c>
      <c r="E13">
        <v>16</v>
      </c>
      <c r="F13">
        <v>9</v>
      </c>
      <c r="G13">
        <v>12</v>
      </c>
      <c r="H13">
        <v>2</v>
      </c>
      <c r="I13">
        <v>1</v>
      </c>
      <c r="J13">
        <v>5</v>
      </c>
      <c r="K13">
        <v>0</v>
      </c>
      <c r="L13">
        <v>11</v>
      </c>
      <c r="M13">
        <v>0</v>
      </c>
      <c r="N13">
        <v>4</v>
      </c>
      <c r="O13">
        <v>54</v>
      </c>
      <c r="P13">
        <v>9</v>
      </c>
      <c r="Q13">
        <v>3</v>
      </c>
      <c r="R13">
        <v>6</v>
      </c>
      <c r="S13">
        <v>1</v>
      </c>
      <c r="T13">
        <v>0</v>
      </c>
      <c r="U13">
        <v>1</v>
      </c>
      <c r="V13">
        <v>1</v>
      </c>
      <c r="W13">
        <v>0</v>
      </c>
      <c r="X13">
        <v>0</v>
      </c>
      <c r="Y13">
        <v>0</v>
      </c>
      <c r="Z13">
        <v>1</v>
      </c>
      <c r="AB13">
        <f t="shared" si="0"/>
        <v>150</v>
      </c>
      <c r="AF13" s="13" t="s">
        <v>32</v>
      </c>
      <c r="AG13" s="14"/>
      <c r="AH13" s="15"/>
    </row>
    <row r="14" spans="3:34">
      <c r="C14" t="s">
        <v>12</v>
      </c>
      <c r="D14">
        <v>11</v>
      </c>
      <c r="E14">
        <v>18</v>
      </c>
      <c r="F14">
        <v>7</v>
      </c>
      <c r="G14">
        <v>11</v>
      </c>
      <c r="H14">
        <v>6</v>
      </c>
      <c r="I14">
        <v>5</v>
      </c>
      <c r="J14">
        <v>2</v>
      </c>
      <c r="K14">
        <v>0</v>
      </c>
      <c r="L14">
        <v>12</v>
      </c>
      <c r="M14">
        <v>0</v>
      </c>
      <c r="N14">
        <v>2</v>
      </c>
      <c r="O14">
        <v>36</v>
      </c>
      <c r="P14">
        <v>20</v>
      </c>
      <c r="Q14">
        <v>4</v>
      </c>
      <c r="R14">
        <v>10</v>
      </c>
      <c r="S14">
        <v>3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2</v>
      </c>
      <c r="AB14">
        <f t="shared" si="0"/>
        <v>150</v>
      </c>
      <c r="AF14" s="13" t="s">
        <v>33</v>
      </c>
      <c r="AG14" s="14"/>
      <c r="AH14" s="15"/>
    </row>
    <row r="15" spans="3:34">
      <c r="C15" t="s">
        <v>13</v>
      </c>
      <c r="D15">
        <v>1</v>
      </c>
      <c r="E15">
        <v>2</v>
      </c>
      <c r="F15">
        <v>1</v>
      </c>
      <c r="G15">
        <v>17</v>
      </c>
      <c r="H15">
        <v>15</v>
      </c>
      <c r="I15">
        <v>7</v>
      </c>
      <c r="J15">
        <v>0</v>
      </c>
      <c r="K15">
        <v>0</v>
      </c>
      <c r="L15">
        <v>0</v>
      </c>
      <c r="M15">
        <v>1</v>
      </c>
      <c r="N15">
        <v>3</v>
      </c>
      <c r="O15">
        <v>4</v>
      </c>
      <c r="P15">
        <v>17</v>
      </c>
      <c r="Q15">
        <v>34</v>
      </c>
      <c r="R15">
        <v>31</v>
      </c>
      <c r="S15">
        <v>0</v>
      </c>
      <c r="T15">
        <v>1</v>
      </c>
      <c r="U15">
        <v>1</v>
      </c>
      <c r="V15">
        <v>9</v>
      </c>
      <c r="W15">
        <v>2</v>
      </c>
      <c r="X15">
        <v>2</v>
      </c>
      <c r="Y15">
        <v>0</v>
      </c>
      <c r="Z15">
        <v>2</v>
      </c>
      <c r="AB15">
        <f t="shared" si="0"/>
        <v>150</v>
      </c>
      <c r="AF15" s="13" t="s">
        <v>34</v>
      </c>
      <c r="AG15" s="14"/>
      <c r="AH15" s="15"/>
    </row>
    <row r="16" spans="3:34">
      <c r="C16" t="s">
        <v>14</v>
      </c>
      <c r="D16">
        <v>4</v>
      </c>
      <c r="E16">
        <v>2</v>
      </c>
      <c r="F16">
        <v>2</v>
      </c>
      <c r="G16">
        <v>6</v>
      </c>
      <c r="H16">
        <v>12</v>
      </c>
      <c r="I16">
        <v>7</v>
      </c>
      <c r="J16">
        <v>3</v>
      </c>
      <c r="K16">
        <v>0</v>
      </c>
      <c r="L16">
        <v>4</v>
      </c>
      <c r="M16">
        <v>1</v>
      </c>
      <c r="N16">
        <v>14</v>
      </c>
      <c r="O16">
        <v>2</v>
      </c>
      <c r="P16">
        <v>16</v>
      </c>
      <c r="Q16">
        <v>16</v>
      </c>
      <c r="R16">
        <v>45</v>
      </c>
      <c r="S16">
        <v>1</v>
      </c>
      <c r="T16">
        <v>2</v>
      </c>
      <c r="U16">
        <v>2</v>
      </c>
      <c r="V16">
        <v>5</v>
      </c>
      <c r="W16">
        <v>4</v>
      </c>
      <c r="X16">
        <v>1</v>
      </c>
      <c r="Y16">
        <v>0</v>
      </c>
      <c r="Z16">
        <v>1</v>
      </c>
      <c r="AB16">
        <f t="shared" si="0"/>
        <v>150</v>
      </c>
      <c r="AF16" s="13" t="s">
        <v>35</v>
      </c>
      <c r="AG16" s="14"/>
      <c r="AH16" s="15"/>
    </row>
    <row r="17" spans="1:34">
      <c r="C17" t="s">
        <v>15</v>
      </c>
      <c r="D17">
        <v>29</v>
      </c>
      <c r="E17">
        <v>42</v>
      </c>
      <c r="F17">
        <v>33</v>
      </c>
      <c r="G17">
        <v>1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0</v>
      </c>
      <c r="O17">
        <v>5</v>
      </c>
      <c r="P17">
        <v>2</v>
      </c>
      <c r="Q17">
        <v>1</v>
      </c>
      <c r="R17">
        <v>0</v>
      </c>
      <c r="S17">
        <v>19</v>
      </c>
      <c r="T17">
        <v>2</v>
      </c>
      <c r="U17">
        <v>0</v>
      </c>
      <c r="V17">
        <v>0</v>
      </c>
      <c r="W17">
        <v>0</v>
      </c>
      <c r="X17">
        <v>0</v>
      </c>
      <c r="Y17">
        <v>0</v>
      </c>
      <c r="Z17">
        <v>14</v>
      </c>
      <c r="AB17">
        <f t="shared" si="0"/>
        <v>150</v>
      </c>
      <c r="AF17" s="13" t="s">
        <v>36</v>
      </c>
      <c r="AG17" s="14"/>
      <c r="AH17" s="15"/>
    </row>
    <row r="18" spans="1:34">
      <c r="C18" t="s">
        <v>16</v>
      </c>
      <c r="D18">
        <v>0</v>
      </c>
      <c r="E18">
        <v>1</v>
      </c>
      <c r="F18">
        <v>1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2</v>
      </c>
      <c r="T18">
        <v>118</v>
      </c>
      <c r="U18">
        <v>26</v>
      </c>
      <c r="V18">
        <v>0</v>
      </c>
      <c r="W18">
        <v>0</v>
      </c>
      <c r="X18">
        <v>0</v>
      </c>
      <c r="Y18">
        <v>0</v>
      </c>
      <c r="Z18">
        <v>0</v>
      </c>
      <c r="AB18">
        <f t="shared" si="0"/>
        <v>150</v>
      </c>
      <c r="AF18" s="13" t="s">
        <v>37</v>
      </c>
      <c r="AG18" s="14"/>
      <c r="AH18" s="15"/>
    </row>
    <row r="19" spans="1:34">
      <c r="C19" t="s">
        <v>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20</v>
      </c>
      <c r="U19">
        <v>126</v>
      </c>
      <c r="V19">
        <v>0</v>
      </c>
      <c r="W19">
        <v>0</v>
      </c>
      <c r="X19">
        <v>0</v>
      </c>
      <c r="Y19">
        <v>1</v>
      </c>
      <c r="Z19">
        <v>1</v>
      </c>
      <c r="AB19">
        <f t="shared" si="0"/>
        <v>150</v>
      </c>
      <c r="AF19" s="13" t="s">
        <v>38</v>
      </c>
      <c r="AG19" s="14"/>
      <c r="AH19" s="15"/>
    </row>
    <row r="20" spans="1:34">
      <c r="C20" t="s">
        <v>18</v>
      </c>
      <c r="D20">
        <v>3</v>
      </c>
      <c r="E20">
        <v>0</v>
      </c>
      <c r="F20">
        <v>1</v>
      </c>
      <c r="G20">
        <v>11</v>
      </c>
      <c r="H20">
        <v>1</v>
      </c>
      <c r="I20">
        <v>4</v>
      </c>
      <c r="J20">
        <v>1</v>
      </c>
      <c r="K20">
        <v>1</v>
      </c>
      <c r="L20">
        <v>0</v>
      </c>
      <c r="M20">
        <v>0</v>
      </c>
      <c r="N20">
        <v>0</v>
      </c>
      <c r="O20">
        <v>5</v>
      </c>
      <c r="P20">
        <v>0</v>
      </c>
      <c r="Q20">
        <v>0</v>
      </c>
      <c r="R20">
        <v>0</v>
      </c>
      <c r="S20">
        <v>2</v>
      </c>
      <c r="T20">
        <v>2</v>
      </c>
      <c r="U20">
        <v>3</v>
      </c>
      <c r="V20">
        <v>107</v>
      </c>
      <c r="W20">
        <v>3</v>
      </c>
      <c r="X20">
        <v>1</v>
      </c>
      <c r="Y20">
        <v>2</v>
      </c>
      <c r="Z20">
        <v>3</v>
      </c>
      <c r="AB20">
        <f t="shared" si="0"/>
        <v>150</v>
      </c>
      <c r="AF20" s="13" t="s">
        <v>39</v>
      </c>
      <c r="AG20" s="14"/>
      <c r="AH20" s="15"/>
    </row>
    <row r="21" spans="1:34">
      <c r="C21" t="s">
        <v>19</v>
      </c>
      <c r="D21">
        <v>0</v>
      </c>
      <c r="E21">
        <v>1</v>
      </c>
      <c r="F21">
        <v>1</v>
      </c>
      <c r="G21">
        <v>2</v>
      </c>
      <c r="H21">
        <v>1</v>
      </c>
      <c r="I21">
        <v>7</v>
      </c>
      <c r="J21">
        <v>0</v>
      </c>
      <c r="K21">
        <v>1</v>
      </c>
      <c r="L21">
        <v>0</v>
      </c>
      <c r="M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30</v>
      </c>
      <c r="W21">
        <v>68</v>
      </c>
      <c r="X21">
        <v>14</v>
      </c>
      <c r="Y21">
        <v>20</v>
      </c>
      <c r="Z21">
        <v>2</v>
      </c>
      <c r="AB21">
        <f t="shared" si="0"/>
        <v>150</v>
      </c>
      <c r="AF21" s="13" t="s">
        <v>40</v>
      </c>
      <c r="AG21" s="14"/>
      <c r="AH21" s="15"/>
    </row>
    <row r="22" spans="1:34">
      <c r="C22" t="s">
        <v>20</v>
      </c>
      <c r="D22">
        <v>0</v>
      </c>
      <c r="E22">
        <v>4</v>
      </c>
      <c r="F22">
        <v>1</v>
      </c>
      <c r="G22">
        <v>2</v>
      </c>
      <c r="H22">
        <v>1</v>
      </c>
      <c r="I22">
        <v>2</v>
      </c>
      <c r="J22">
        <v>1</v>
      </c>
      <c r="K22">
        <v>1</v>
      </c>
      <c r="L22">
        <v>1</v>
      </c>
      <c r="M22">
        <v>0</v>
      </c>
      <c r="N22">
        <v>1</v>
      </c>
      <c r="O22">
        <v>1</v>
      </c>
      <c r="P22">
        <v>0</v>
      </c>
      <c r="Q22">
        <v>1</v>
      </c>
      <c r="R22">
        <v>2</v>
      </c>
      <c r="S22">
        <v>2</v>
      </c>
      <c r="T22">
        <v>1</v>
      </c>
      <c r="U22">
        <v>0</v>
      </c>
      <c r="V22">
        <v>14</v>
      </c>
      <c r="W22">
        <v>22</v>
      </c>
      <c r="X22">
        <v>75</v>
      </c>
      <c r="Y22">
        <v>17</v>
      </c>
      <c r="Z22">
        <v>1</v>
      </c>
      <c r="AB22">
        <f t="shared" si="0"/>
        <v>150</v>
      </c>
      <c r="AF22" s="13" t="s">
        <v>41</v>
      </c>
      <c r="AG22" s="14"/>
      <c r="AH22" s="15"/>
    </row>
    <row r="23" spans="1:34">
      <c r="C23" t="s">
        <v>21</v>
      </c>
      <c r="D23">
        <v>0</v>
      </c>
      <c r="E23">
        <v>0</v>
      </c>
      <c r="F23">
        <v>0</v>
      </c>
      <c r="G23">
        <v>2</v>
      </c>
      <c r="H23">
        <v>1</v>
      </c>
      <c r="I23">
        <v>5</v>
      </c>
      <c r="J23">
        <v>0</v>
      </c>
      <c r="K23">
        <v>0</v>
      </c>
      <c r="L23">
        <v>1</v>
      </c>
      <c r="M23">
        <v>0</v>
      </c>
      <c r="N23">
        <v>1</v>
      </c>
      <c r="O23">
        <v>0</v>
      </c>
      <c r="P23">
        <v>0</v>
      </c>
      <c r="Q23">
        <v>3</v>
      </c>
      <c r="R23">
        <v>0</v>
      </c>
      <c r="S23">
        <v>1</v>
      </c>
      <c r="T23">
        <v>3</v>
      </c>
      <c r="U23">
        <v>1</v>
      </c>
      <c r="V23">
        <v>3</v>
      </c>
      <c r="W23">
        <v>6</v>
      </c>
      <c r="X23">
        <v>5</v>
      </c>
      <c r="Y23">
        <v>108</v>
      </c>
      <c r="Z23">
        <v>10</v>
      </c>
      <c r="AB23">
        <f t="shared" si="0"/>
        <v>150</v>
      </c>
      <c r="AF23" s="13" t="s">
        <v>42</v>
      </c>
      <c r="AG23" s="14"/>
      <c r="AH23" s="15"/>
    </row>
    <row r="24" spans="1:34">
      <c r="C24" t="s">
        <v>22</v>
      </c>
      <c r="D24">
        <v>3</v>
      </c>
      <c r="E24">
        <v>5</v>
      </c>
      <c r="F24">
        <v>10</v>
      </c>
      <c r="G24">
        <v>3</v>
      </c>
      <c r="H24">
        <v>1</v>
      </c>
      <c r="I24">
        <v>1</v>
      </c>
      <c r="J24">
        <v>0</v>
      </c>
      <c r="K24">
        <v>1</v>
      </c>
      <c r="L24">
        <v>0</v>
      </c>
      <c r="M24">
        <v>0</v>
      </c>
      <c r="N24">
        <v>0</v>
      </c>
      <c r="O24">
        <v>4</v>
      </c>
      <c r="P24">
        <v>2</v>
      </c>
      <c r="Q24">
        <v>1</v>
      </c>
      <c r="R24">
        <v>2</v>
      </c>
      <c r="S24">
        <v>11</v>
      </c>
      <c r="T24">
        <v>1</v>
      </c>
      <c r="U24">
        <v>2</v>
      </c>
      <c r="V24">
        <v>3</v>
      </c>
      <c r="W24">
        <v>3</v>
      </c>
      <c r="X24">
        <v>1</v>
      </c>
      <c r="Y24">
        <v>2</v>
      </c>
      <c r="Z24">
        <v>94</v>
      </c>
      <c r="AB24">
        <f t="shared" si="0"/>
        <v>150</v>
      </c>
      <c r="AF24" s="13" t="s">
        <v>43</v>
      </c>
      <c r="AG24" s="14"/>
      <c r="AH24" s="15"/>
    </row>
    <row r="25" spans="1:34">
      <c r="AF25" s="13" t="s">
        <v>44</v>
      </c>
      <c r="AG25" s="14"/>
      <c r="AH25" s="15"/>
    </row>
    <row r="26" spans="1:34">
      <c r="D26">
        <f>SUM(D2:D24)</f>
        <v>136</v>
      </c>
      <c r="E26">
        <f t="shared" ref="E26:Z26" si="1">SUM(E2:E24)</f>
        <v>308</v>
      </c>
      <c r="F26">
        <f t="shared" si="1"/>
        <v>233</v>
      </c>
      <c r="G26">
        <f t="shared" si="1"/>
        <v>128</v>
      </c>
      <c r="H26">
        <f t="shared" si="1"/>
        <v>243</v>
      </c>
      <c r="I26">
        <f t="shared" si="1"/>
        <v>153</v>
      </c>
      <c r="J26">
        <f t="shared" si="1"/>
        <v>257</v>
      </c>
      <c r="K26">
        <f t="shared" si="1"/>
        <v>152</v>
      </c>
      <c r="L26">
        <f t="shared" si="1"/>
        <v>107</v>
      </c>
      <c r="M26">
        <f t="shared" si="1"/>
        <v>67</v>
      </c>
      <c r="N26">
        <f t="shared" si="1"/>
        <v>88</v>
      </c>
      <c r="O26">
        <f t="shared" si="1"/>
        <v>143</v>
      </c>
      <c r="P26">
        <f t="shared" si="1"/>
        <v>102</v>
      </c>
      <c r="Q26">
        <f t="shared" si="1"/>
        <v>93</v>
      </c>
      <c r="R26">
        <f t="shared" si="1"/>
        <v>143</v>
      </c>
      <c r="S26">
        <f t="shared" si="1"/>
        <v>51</v>
      </c>
      <c r="T26">
        <f t="shared" si="1"/>
        <v>152</v>
      </c>
      <c r="U26">
        <f t="shared" si="1"/>
        <v>166</v>
      </c>
      <c r="V26">
        <f t="shared" si="1"/>
        <v>177</v>
      </c>
      <c r="W26">
        <f t="shared" si="1"/>
        <v>118</v>
      </c>
      <c r="X26">
        <f t="shared" si="1"/>
        <v>106</v>
      </c>
      <c r="Y26">
        <f t="shared" si="1"/>
        <v>171</v>
      </c>
      <c r="Z26">
        <f t="shared" si="1"/>
        <v>156</v>
      </c>
      <c r="AF26" s="13" t="s">
        <v>45</v>
      </c>
      <c r="AG26" s="14"/>
      <c r="AH26" s="15"/>
    </row>
    <row r="27" spans="1:34">
      <c r="AF27" s="13" t="s">
        <v>46</v>
      </c>
      <c r="AG27" s="14"/>
      <c r="AH27" s="15"/>
    </row>
    <row r="28" spans="1:34">
      <c r="AF28" s="13" t="s">
        <v>47</v>
      </c>
      <c r="AG28" s="14"/>
      <c r="AH28" s="15"/>
    </row>
    <row r="29" spans="1:34" ht="16" thickBot="1">
      <c r="A29" s="6" t="s">
        <v>27</v>
      </c>
      <c r="B29" s="7"/>
      <c r="C29" s="7"/>
      <c r="D29" s="7"/>
      <c r="E29" s="7"/>
      <c r="F29" s="8"/>
      <c r="AF29" s="16" t="s">
        <v>48</v>
      </c>
      <c r="AG29" s="17"/>
      <c r="AH29" s="18"/>
    </row>
    <row r="30" spans="1:34">
      <c r="C30" s="1" t="s">
        <v>23</v>
      </c>
      <c r="D30" t="s">
        <v>0</v>
      </c>
      <c r="E30" t="s">
        <v>1</v>
      </c>
      <c r="F30" t="s">
        <v>2</v>
      </c>
      <c r="G30" t="s">
        <v>3</v>
      </c>
      <c r="H30" t="s">
        <v>4</v>
      </c>
      <c r="I30" t="s">
        <v>5</v>
      </c>
      <c r="J30" t="s">
        <v>6</v>
      </c>
      <c r="K30" t="s">
        <v>7</v>
      </c>
      <c r="L30" t="s">
        <v>8</v>
      </c>
      <c r="M30" t="s">
        <v>9</v>
      </c>
      <c r="N30" t="s">
        <v>10</v>
      </c>
      <c r="O30" t="s">
        <v>11</v>
      </c>
      <c r="P30" t="s">
        <v>12</v>
      </c>
      <c r="Q30" t="s">
        <v>13</v>
      </c>
      <c r="R30" t="s">
        <v>14</v>
      </c>
      <c r="S30" t="s">
        <v>15</v>
      </c>
      <c r="T30" t="s">
        <v>16</v>
      </c>
      <c r="U30" t="s">
        <v>17</v>
      </c>
      <c r="V30" t="s">
        <v>18</v>
      </c>
      <c r="W30" t="s">
        <v>19</v>
      </c>
      <c r="X30" t="s">
        <v>20</v>
      </c>
      <c r="Y30" t="s">
        <v>21</v>
      </c>
      <c r="Z30" t="s">
        <v>22</v>
      </c>
      <c r="AB30" t="s">
        <v>24</v>
      </c>
    </row>
    <row r="31" spans="1:34">
      <c r="C31" t="s">
        <v>0</v>
      </c>
      <c r="D31" s="3">
        <f>D2/$AB2*100</f>
        <v>26.666666666666668</v>
      </c>
      <c r="E31" s="2">
        <f t="shared" ref="E31:Z31" si="2">E2/$AB2*100</f>
        <v>36.666666666666664</v>
      </c>
      <c r="F31" s="2">
        <f t="shared" si="2"/>
        <v>20</v>
      </c>
      <c r="G31" s="2">
        <f t="shared" si="2"/>
        <v>1.3333333333333335</v>
      </c>
      <c r="H31" s="2">
        <f t="shared" si="2"/>
        <v>0</v>
      </c>
      <c r="I31" s="2">
        <f t="shared" si="2"/>
        <v>0</v>
      </c>
      <c r="J31" s="2">
        <f t="shared" si="2"/>
        <v>0.66666666666666674</v>
      </c>
      <c r="K31" s="2">
        <f t="shared" si="2"/>
        <v>0</v>
      </c>
      <c r="L31" s="2">
        <f t="shared" si="2"/>
        <v>0.66666666666666674</v>
      </c>
      <c r="M31" s="2">
        <f t="shared" si="2"/>
        <v>0</v>
      </c>
      <c r="N31" s="2">
        <f t="shared" si="2"/>
        <v>0</v>
      </c>
      <c r="O31" s="2">
        <f t="shared" si="2"/>
        <v>3.3333333333333335</v>
      </c>
      <c r="P31" s="2">
        <f t="shared" si="2"/>
        <v>0.66666666666666674</v>
      </c>
      <c r="Q31" s="2">
        <f t="shared" si="2"/>
        <v>2</v>
      </c>
      <c r="R31" s="2">
        <f t="shared" si="2"/>
        <v>0</v>
      </c>
      <c r="S31" s="2">
        <f t="shared" si="2"/>
        <v>3.3333333333333335</v>
      </c>
      <c r="T31" s="2">
        <f t="shared" si="2"/>
        <v>0</v>
      </c>
      <c r="U31" s="2">
        <f t="shared" si="2"/>
        <v>0</v>
      </c>
      <c r="V31" s="2">
        <f t="shared" si="2"/>
        <v>0.66666666666666674</v>
      </c>
      <c r="W31" s="2">
        <f t="shared" si="2"/>
        <v>0</v>
      </c>
      <c r="X31" s="2">
        <f t="shared" si="2"/>
        <v>0</v>
      </c>
      <c r="Y31" s="2">
        <f t="shared" si="2"/>
        <v>0</v>
      </c>
      <c r="Z31" s="2">
        <f t="shared" si="2"/>
        <v>4</v>
      </c>
      <c r="AB31" s="2">
        <f>SUM(D31:Z31)</f>
        <v>100</v>
      </c>
      <c r="AF31" t="s">
        <v>49</v>
      </c>
    </row>
    <row r="32" spans="1:34">
      <c r="C32" t="s">
        <v>1</v>
      </c>
      <c r="D32" s="2">
        <f t="shared" ref="D32:Z32" si="3">D3/$AB3*100</f>
        <v>2.666666666666667</v>
      </c>
      <c r="E32" s="3">
        <f t="shared" si="3"/>
        <v>68.666666666666671</v>
      </c>
      <c r="F32" s="2">
        <f t="shared" si="3"/>
        <v>16</v>
      </c>
      <c r="G32" s="2">
        <f t="shared" si="3"/>
        <v>0</v>
      </c>
      <c r="H32" s="2">
        <f t="shared" si="3"/>
        <v>2</v>
      </c>
      <c r="I32" s="2">
        <f t="shared" si="3"/>
        <v>0</v>
      </c>
      <c r="J32" s="2">
        <f t="shared" si="3"/>
        <v>2</v>
      </c>
      <c r="K32" s="2">
        <f t="shared" si="3"/>
        <v>0</v>
      </c>
      <c r="L32" s="2">
        <f t="shared" si="3"/>
        <v>0.66666666666666674</v>
      </c>
      <c r="M32" s="2">
        <f t="shared" si="3"/>
        <v>0</v>
      </c>
      <c r="N32" s="2">
        <f t="shared" si="3"/>
        <v>0</v>
      </c>
      <c r="O32" s="2">
        <f t="shared" si="3"/>
        <v>0</v>
      </c>
      <c r="P32" s="2">
        <f t="shared" si="3"/>
        <v>0.66666666666666674</v>
      </c>
      <c r="Q32" s="2">
        <f t="shared" si="3"/>
        <v>0</v>
      </c>
      <c r="R32" s="2">
        <f t="shared" si="3"/>
        <v>1.3333333333333335</v>
      </c>
      <c r="S32" s="2">
        <f t="shared" si="3"/>
        <v>0.66666666666666674</v>
      </c>
      <c r="T32" s="2">
        <f t="shared" si="3"/>
        <v>0</v>
      </c>
      <c r="U32" s="2">
        <f t="shared" si="3"/>
        <v>0.66666666666666674</v>
      </c>
      <c r="V32" s="2">
        <f t="shared" si="3"/>
        <v>0</v>
      </c>
      <c r="W32" s="2">
        <f t="shared" si="3"/>
        <v>2</v>
      </c>
      <c r="X32" s="2">
        <f t="shared" si="3"/>
        <v>0</v>
      </c>
      <c r="Y32" s="2">
        <f t="shared" si="3"/>
        <v>0</v>
      </c>
      <c r="Z32" s="2">
        <f t="shared" si="3"/>
        <v>2.666666666666667</v>
      </c>
      <c r="AB32" s="2">
        <f t="shared" ref="AB32:AB53" si="4">SUM(D32:Z32)</f>
        <v>100.00000000000003</v>
      </c>
      <c r="AF32" t="s">
        <v>50</v>
      </c>
    </row>
    <row r="33" spans="3:33">
      <c r="C33" t="s">
        <v>2</v>
      </c>
      <c r="D33" s="2">
        <f t="shared" ref="D33:Z33" si="5">D4/$AB4*100</f>
        <v>8</v>
      </c>
      <c r="E33" s="2">
        <f t="shared" si="5"/>
        <v>13.333333333333334</v>
      </c>
      <c r="F33" s="3">
        <f t="shared" si="5"/>
        <v>68</v>
      </c>
      <c r="G33" s="2">
        <f t="shared" si="5"/>
        <v>2.666666666666667</v>
      </c>
      <c r="H33" s="2">
        <f t="shared" si="5"/>
        <v>0.66666666666666674</v>
      </c>
      <c r="I33" s="2">
        <f t="shared" si="5"/>
        <v>0</v>
      </c>
      <c r="J33" s="2">
        <f t="shared" si="5"/>
        <v>2.666666666666667</v>
      </c>
      <c r="K33" s="2">
        <f t="shared" si="5"/>
        <v>0.66666666666666674</v>
      </c>
      <c r="L33" s="2">
        <f t="shared" si="5"/>
        <v>0</v>
      </c>
      <c r="M33" s="2">
        <f t="shared" si="5"/>
        <v>0</v>
      </c>
      <c r="N33" s="2">
        <f t="shared" si="5"/>
        <v>0</v>
      </c>
      <c r="O33" s="2">
        <f t="shared" si="5"/>
        <v>0</v>
      </c>
      <c r="P33" s="2">
        <f t="shared" si="5"/>
        <v>0.66666666666666674</v>
      </c>
      <c r="Q33" s="2">
        <f t="shared" si="5"/>
        <v>0</v>
      </c>
      <c r="R33" s="2">
        <f t="shared" si="5"/>
        <v>0</v>
      </c>
      <c r="S33" s="2">
        <f t="shared" si="5"/>
        <v>0.66666666666666674</v>
      </c>
      <c r="T33" s="2">
        <f t="shared" si="5"/>
        <v>0</v>
      </c>
      <c r="U33" s="2">
        <f t="shared" si="5"/>
        <v>0</v>
      </c>
      <c r="V33" s="2">
        <f t="shared" si="5"/>
        <v>0</v>
      </c>
      <c r="W33" s="2">
        <f t="shared" si="5"/>
        <v>0.66666666666666674</v>
      </c>
      <c r="X33" s="2">
        <f t="shared" si="5"/>
        <v>0</v>
      </c>
      <c r="Y33" s="2">
        <f t="shared" si="5"/>
        <v>0</v>
      </c>
      <c r="Z33" s="2">
        <f t="shared" si="5"/>
        <v>2</v>
      </c>
      <c r="AB33" s="2">
        <f t="shared" si="4"/>
        <v>100.00000000000004</v>
      </c>
      <c r="AF33" t="s">
        <v>51</v>
      </c>
    </row>
    <row r="34" spans="3:33">
      <c r="C34" t="s">
        <v>3</v>
      </c>
      <c r="D34" s="2">
        <f t="shared" ref="D34:Z34" si="6">D5/$AB5*100</f>
        <v>6</v>
      </c>
      <c r="E34" s="2">
        <f t="shared" si="6"/>
        <v>4</v>
      </c>
      <c r="F34" s="2">
        <f t="shared" si="6"/>
        <v>4.666666666666667</v>
      </c>
      <c r="G34" s="3">
        <f t="shared" si="6"/>
        <v>26</v>
      </c>
      <c r="H34" s="2">
        <f t="shared" si="6"/>
        <v>20</v>
      </c>
      <c r="I34" s="2">
        <f t="shared" si="6"/>
        <v>6.666666666666667</v>
      </c>
      <c r="J34" s="2">
        <f t="shared" si="6"/>
        <v>0.66666666666666674</v>
      </c>
      <c r="K34" s="2">
        <f t="shared" si="6"/>
        <v>0.66666666666666674</v>
      </c>
      <c r="L34" s="2">
        <f t="shared" si="6"/>
        <v>1.3333333333333335</v>
      </c>
      <c r="M34" s="2">
        <f t="shared" si="6"/>
        <v>0</v>
      </c>
      <c r="N34" s="2">
        <f t="shared" si="6"/>
        <v>0</v>
      </c>
      <c r="O34" s="2">
        <f t="shared" si="6"/>
        <v>7.333333333333333</v>
      </c>
      <c r="P34" s="2">
        <f t="shared" si="6"/>
        <v>2</v>
      </c>
      <c r="Q34" s="2">
        <f t="shared" si="6"/>
        <v>6</v>
      </c>
      <c r="R34" s="2">
        <f t="shared" si="6"/>
        <v>8</v>
      </c>
      <c r="S34" s="2">
        <f t="shared" si="6"/>
        <v>0</v>
      </c>
      <c r="T34" s="2">
        <f t="shared" si="6"/>
        <v>0</v>
      </c>
      <c r="U34" s="2">
        <f t="shared" si="6"/>
        <v>0</v>
      </c>
      <c r="V34" s="2">
        <f t="shared" si="6"/>
        <v>2</v>
      </c>
      <c r="W34" s="2">
        <f t="shared" si="6"/>
        <v>0.66666666666666674</v>
      </c>
      <c r="X34" s="2">
        <f t="shared" si="6"/>
        <v>0.66666666666666674</v>
      </c>
      <c r="Y34" s="2">
        <f t="shared" si="6"/>
        <v>0.66666666666666674</v>
      </c>
      <c r="Z34" s="2">
        <f t="shared" si="6"/>
        <v>2.666666666666667</v>
      </c>
      <c r="AB34" s="2">
        <f t="shared" si="4"/>
        <v>100.00000000000003</v>
      </c>
      <c r="AF34" t="s">
        <v>52</v>
      </c>
    </row>
    <row r="35" spans="3:33">
      <c r="C35" t="s">
        <v>4</v>
      </c>
      <c r="D35" s="2">
        <f t="shared" ref="D35:Z35" si="7">D6/$AB6*100</f>
        <v>0.66666666666666674</v>
      </c>
      <c r="E35" s="2">
        <f t="shared" si="7"/>
        <v>4</v>
      </c>
      <c r="F35" s="2">
        <f t="shared" si="7"/>
        <v>0</v>
      </c>
      <c r="G35" s="2">
        <f t="shared" si="7"/>
        <v>2.666666666666667</v>
      </c>
      <c r="H35" s="3">
        <f t="shared" si="7"/>
        <v>76</v>
      </c>
      <c r="I35" s="2">
        <f t="shared" si="7"/>
        <v>3.3333333333333335</v>
      </c>
      <c r="J35" s="2">
        <f t="shared" si="7"/>
        <v>1.3333333333333335</v>
      </c>
      <c r="K35" s="2">
        <f t="shared" si="7"/>
        <v>2</v>
      </c>
      <c r="L35" s="2">
        <f t="shared" si="7"/>
        <v>2</v>
      </c>
      <c r="M35" s="2">
        <f t="shared" si="7"/>
        <v>0</v>
      </c>
      <c r="N35" s="2">
        <f t="shared" si="7"/>
        <v>0.66666666666666674</v>
      </c>
      <c r="O35" s="2">
        <f t="shared" si="7"/>
        <v>0.66666666666666674</v>
      </c>
      <c r="P35" s="2">
        <f t="shared" si="7"/>
        <v>3.3333333333333335</v>
      </c>
      <c r="Q35" s="2">
        <f t="shared" si="7"/>
        <v>0</v>
      </c>
      <c r="R35" s="2">
        <f t="shared" si="7"/>
        <v>2.666666666666667</v>
      </c>
      <c r="S35" s="2">
        <f t="shared" si="7"/>
        <v>0</v>
      </c>
      <c r="T35" s="2">
        <f t="shared" si="7"/>
        <v>0</v>
      </c>
      <c r="U35" s="2">
        <f t="shared" si="7"/>
        <v>0</v>
      </c>
      <c r="V35" s="2">
        <f t="shared" si="7"/>
        <v>0</v>
      </c>
      <c r="W35" s="2">
        <f t="shared" si="7"/>
        <v>0</v>
      </c>
      <c r="X35" s="2">
        <f t="shared" si="7"/>
        <v>0</v>
      </c>
      <c r="Y35" s="2">
        <f t="shared" si="7"/>
        <v>0</v>
      </c>
      <c r="Z35" s="2">
        <f t="shared" si="7"/>
        <v>0.66666666666666674</v>
      </c>
      <c r="AB35" s="2">
        <f t="shared" si="4"/>
        <v>100</v>
      </c>
      <c r="AG35" t="s">
        <v>53</v>
      </c>
    </row>
    <row r="36" spans="3:33">
      <c r="C36" t="s">
        <v>5</v>
      </c>
      <c r="D36" s="2">
        <f t="shared" ref="D36:Z36" si="8">D7/$AB7*100</f>
        <v>0.66666666666666674</v>
      </c>
      <c r="E36" s="2">
        <f t="shared" si="8"/>
        <v>0</v>
      </c>
      <c r="F36" s="2">
        <f t="shared" si="8"/>
        <v>0.66666666666666674</v>
      </c>
      <c r="G36" s="2">
        <f t="shared" si="8"/>
        <v>4.666666666666667</v>
      </c>
      <c r="H36" s="2">
        <f t="shared" si="8"/>
        <v>14.000000000000002</v>
      </c>
      <c r="I36" s="3">
        <f t="shared" si="8"/>
        <v>49.333333333333336</v>
      </c>
      <c r="J36" s="2">
        <f t="shared" si="8"/>
        <v>0</v>
      </c>
      <c r="K36" s="2">
        <f t="shared" si="8"/>
        <v>2</v>
      </c>
      <c r="L36" s="2">
        <f t="shared" si="8"/>
        <v>2</v>
      </c>
      <c r="M36" s="2">
        <f t="shared" si="8"/>
        <v>0</v>
      </c>
      <c r="N36" s="2">
        <f t="shared" si="8"/>
        <v>0</v>
      </c>
      <c r="O36" s="2">
        <f t="shared" si="8"/>
        <v>0.66666666666666674</v>
      </c>
      <c r="P36" s="2">
        <f t="shared" si="8"/>
        <v>0</v>
      </c>
      <c r="Q36" s="2">
        <f t="shared" si="8"/>
        <v>5.3333333333333339</v>
      </c>
      <c r="R36" s="2">
        <f t="shared" si="8"/>
        <v>0.66666666666666674</v>
      </c>
      <c r="S36" s="2">
        <f t="shared" si="8"/>
        <v>1.3333333333333335</v>
      </c>
      <c r="T36" s="2">
        <f t="shared" si="8"/>
        <v>0</v>
      </c>
      <c r="U36" s="2">
        <f t="shared" si="8"/>
        <v>0</v>
      </c>
      <c r="V36" s="2">
        <f t="shared" si="8"/>
        <v>0</v>
      </c>
      <c r="W36" s="2">
        <f t="shared" si="8"/>
        <v>1.3333333333333335</v>
      </c>
      <c r="X36" s="2">
        <f t="shared" si="8"/>
        <v>3.3333333333333335</v>
      </c>
      <c r="Y36" s="2">
        <f t="shared" si="8"/>
        <v>11.333333333333332</v>
      </c>
      <c r="Z36" s="2">
        <f t="shared" si="8"/>
        <v>2.666666666666667</v>
      </c>
      <c r="AB36" s="2">
        <f t="shared" si="4"/>
        <v>100</v>
      </c>
    </row>
    <row r="37" spans="3:33">
      <c r="C37" t="s">
        <v>6</v>
      </c>
      <c r="D37" s="2">
        <f t="shared" ref="D37:Z37" si="9">D8/$AB8*100</f>
        <v>0</v>
      </c>
      <c r="E37" s="2">
        <f t="shared" si="9"/>
        <v>4.666666666666667</v>
      </c>
      <c r="F37" s="2">
        <f t="shared" si="9"/>
        <v>0.66666666666666674</v>
      </c>
      <c r="G37" s="2">
        <f t="shared" si="9"/>
        <v>0</v>
      </c>
      <c r="H37" s="2">
        <f t="shared" si="9"/>
        <v>0</v>
      </c>
      <c r="I37" s="2">
        <f t="shared" si="9"/>
        <v>0</v>
      </c>
      <c r="J37" s="3">
        <f t="shared" si="9"/>
        <v>92</v>
      </c>
      <c r="K37" s="2">
        <f t="shared" si="9"/>
        <v>0</v>
      </c>
      <c r="L37" s="2">
        <f t="shared" si="9"/>
        <v>0</v>
      </c>
      <c r="M37" s="2">
        <f t="shared" si="9"/>
        <v>1.3333333333333335</v>
      </c>
      <c r="N37" s="2">
        <f t="shared" si="9"/>
        <v>0</v>
      </c>
      <c r="O37" s="2">
        <f t="shared" si="9"/>
        <v>0</v>
      </c>
      <c r="P37" s="2">
        <f t="shared" si="9"/>
        <v>0</v>
      </c>
      <c r="Q37" s="2">
        <f t="shared" si="9"/>
        <v>0</v>
      </c>
      <c r="R37" s="2">
        <f t="shared" si="9"/>
        <v>0</v>
      </c>
      <c r="S37" s="2">
        <f t="shared" si="9"/>
        <v>0</v>
      </c>
      <c r="T37" s="2">
        <f t="shared" si="9"/>
        <v>0.66666666666666674</v>
      </c>
      <c r="U37" s="2">
        <f t="shared" si="9"/>
        <v>0</v>
      </c>
      <c r="V37" s="2">
        <f t="shared" si="9"/>
        <v>0</v>
      </c>
      <c r="W37" s="2">
        <f t="shared" si="9"/>
        <v>0</v>
      </c>
      <c r="X37" s="2">
        <f t="shared" si="9"/>
        <v>0</v>
      </c>
      <c r="Y37" s="2">
        <f t="shared" si="9"/>
        <v>0</v>
      </c>
      <c r="Z37" s="2">
        <f t="shared" si="9"/>
        <v>0.66666666666666674</v>
      </c>
      <c r="AB37" s="2">
        <f t="shared" si="4"/>
        <v>100</v>
      </c>
    </row>
    <row r="38" spans="3:33">
      <c r="C38" t="s">
        <v>7</v>
      </c>
      <c r="D38" s="2">
        <f t="shared" ref="D38:Z38" si="10">D9/$AB9*100</f>
        <v>0</v>
      </c>
      <c r="E38" s="2">
        <f t="shared" si="10"/>
        <v>0.66666666666666674</v>
      </c>
      <c r="F38" s="2">
        <f t="shared" si="10"/>
        <v>0</v>
      </c>
      <c r="G38" s="2">
        <f t="shared" si="10"/>
        <v>0</v>
      </c>
      <c r="H38" s="2">
        <f t="shared" si="10"/>
        <v>2</v>
      </c>
      <c r="I38" s="2">
        <f t="shared" si="10"/>
        <v>6.666666666666667</v>
      </c>
      <c r="J38" s="2">
        <f t="shared" si="10"/>
        <v>2.666666666666667</v>
      </c>
      <c r="K38" s="3">
        <f t="shared" si="10"/>
        <v>86.666666666666671</v>
      </c>
      <c r="L38" s="2">
        <f t="shared" si="10"/>
        <v>0</v>
      </c>
      <c r="M38" s="2">
        <f t="shared" si="10"/>
        <v>0</v>
      </c>
      <c r="N38" s="2">
        <f t="shared" si="10"/>
        <v>0</v>
      </c>
      <c r="O38" s="2">
        <f t="shared" si="10"/>
        <v>0.66666666666666674</v>
      </c>
      <c r="P38" s="2">
        <f t="shared" si="10"/>
        <v>0</v>
      </c>
      <c r="Q38" s="2">
        <f t="shared" si="10"/>
        <v>0</v>
      </c>
      <c r="R38" s="2">
        <f t="shared" si="10"/>
        <v>0</v>
      </c>
      <c r="S38" s="2">
        <f t="shared" si="10"/>
        <v>0</v>
      </c>
      <c r="T38" s="2">
        <f t="shared" si="10"/>
        <v>0</v>
      </c>
      <c r="U38" s="2">
        <f t="shared" si="10"/>
        <v>0</v>
      </c>
      <c r="V38" s="2">
        <f t="shared" si="10"/>
        <v>0</v>
      </c>
      <c r="W38" s="2">
        <f t="shared" si="10"/>
        <v>0</v>
      </c>
      <c r="X38" s="2">
        <f t="shared" si="10"/>
        <v>0</v>
      </c>
      <c r="Y38" s="2">
        <f t="shared" si="10"/>
        <v>0</v>
      </c>
      <c r="Z38" s="2">
        <f t="shared" si="10"/>
        <v>0.66666666666666674</v>
      </c>
      <c r="AB38" s="2">
        <f t="shared" si="4"/>
        <v>100.00000000000001</v>
      </c>
    </row>
    <row r="39" spans="3:33">
      <c r="C39" t="s">
        <v>8</v>
      </c>
      <c r="D39" s="2">
        <f t="shared" ref="D39:Z39" si="11">D10/$AB10*100</f>
        <v>2</v>
      </c>
      <c r="E39" s="2">
        <f t="shared" si="11"/>
        <v>12</v>
      </c>
      <c r="F39" s="2">
        <f t="shared" si="11"/>
        <v>0.66666666666666674</v>
      </c>
      <c r="G39" s="2">
        <f t="shared" si="11"/>
        <v>2</v>
      </c>
      <c r="H39" s="2">
        <f t="shared" si="11"/>
        <v>4.666666666666667</v>
      </c>
      <c r="I39" s="2">
        <f t="shared" si="11"/>
        <v>0</v>
      </c>
      <c r="J39" s="2">
        <f t="shared" si="11"/>
        <v>6</v>
      </c>
      <c r="K39" s="2">
        <f t="shared" si="11"/>
        <v>2</v>
      </c>
      <c r="L39" s="3">
        <f t="shared" si="11"/>
        <v>36.666666666666664</v>
      </c>
      <c r="M39" s="2">
        <f t="shared" si="11"/>
        <v>0.66666666666666674</v>
      </c>
      <c r="N39" s="2">
        <f t="shared" si="11"/>
        <v>10.666666666666668</v>
      </c>
      <c r="O39" s="2">
        <f t="shared" si="11"/>
        <v>7.333333333333333</v>
      </c>
      <c r="P39" s="2">
        <f t="shared" si="11"/>
        <v>8.6666666666666679</v>
      </c>
      <c r="Q39" s="2">
        <f t="shared" si="11"/>
        <v>0</v>
      </c>
      <c r="R39" s="2">
        <f t="shared" si="11"/>
        <v>4.666666666666667</v>
      </c>
      <c r="S39" s="2">
        <f t="shared" si="11"/>
        <v>0</v>
      </c>
      <c r="T39" s="2">
        <f t="shared" si="11"/>
        <v>0.66666666666666674</v>
      </c>
      <c r="U39" s="2">
        <f t="shared" si="11"/>
        <v>0.66666666666666674</v>
      </c>
      <c r="V39" s="2">
        <f t="shared" si="11"/>
        <v>0</v>
      </c>
      <c r="W39" s="2">
        <f t="shared" si="11"/>
        <v>0</v>
      </c>
      <c r="X39" s="2">
        <f t="shared" si="11"/>
        <v>0</v>
      </c>
      <c r="Y39" s="2">
        <f t="shared" si="11"/>
        <v>0.66666666666666674</v>
      </c>
      <c r="Z39" s="2">
        <f t="shared" si="11"/>
        <v>0</v>
      </c>
      <c r="AB39" s="2">
        <f t="shared" si="4"/>
        <v>100.00000000000003</v>
      </c>
    </row>
    <row r="40" spans="3:33">
      <c r="C40" t="s">
        <v>9</v>
      </c>
      <c r="D40" s="2">
        <f t="shared" ref="D40:Z40" si="12">D11/$AB11*100</f>
        <v>0.66666666666666674</v>
      </c>
      <c r="E40" s="2">
        <f t="shared" si="12"/>
        <v>0</v>
      </c>
      <c r="F40" s="2">
        <f t="shared" si="12"/>
        <v>0</v>
      </c>
      <c r="G40" s="2">
        <f t="shared" si="12"/>
        <v>0</v>
      </c>
      <c r="H40" s="2">
        <f t="shared" si="12"/>
        <v>0</v>
      </c>
      <c r="I40" s="2">
        <f t="shared" si="12"/>
        <v>0</v>
      </c>
      <c r="J40" s="2">
        <f t="shared" si="12"/>
        <v>53.333333333333336</v>
      </c>
      <c r="K40" s="2">
        <f t="shared" si="12"/>
        <v>2</v>
      </c>
      <c r="L40" s="2">
        <f t="shared" si="12"/>
        <v>1.3333333333333335</v>
      </c>
      <c r="M40" s="3">
        <f t="shared" si="12"/>
        <v>41.333333333333336</v>
      </c>
      <c r="N40" s="2">
        <f t="shared" si="12"/>
        <v>0</v>
      </c>
      <c r="O40" s="2">
        <f t="shared" si="12"/>
        <v>0.66666666666666674</v>
      </c>
      <c r="P40" s="2">
        <f t="shared" si="12"/>
        <v>0</v>
      </c>
      <c r="Q40" s="2">
        <f t="shared" si="12"/>
        <v>0</v>
      </c>
      <c r="R40" s="2">
        <f t="shared" si="12"/>
        <v>0</v>
      </c>
      <c r="S40" s="2">
        <f t="shared" si="12"/>
        <v>0</v>
      </c>
      <c r="T40" s="2">
        <f t="shared" si="12"/>
        <v>0</v>
      </c>
      <c r="U40" s="2">
        <f t="shared" si="12"/>
        <v>0</v>
      </c>
      <c r="V40" s="2">
        <f t="shared" si="12"/>
        <v>0</v>
      </c>
      <c r="W40" s="2">
        <f t="shared" si="12"/>
        <v>0</v>
      </c>
      <c r="X40" s="2">
        <f t="shared" si="12"/>
        <v>0</v>
      </c>
      <c r="Y40" s="2">
        <f t="shared" si="12"/>
        <v>0</v>
      </c>
      <c r="Z40" s="2">
        <f t="shared" si="12"/>
        <v>0.66666666666666674</v>
      </c>
      <c r="AB40" s="2">
        <f t="shared" si="4"/>
        <v>100.00000000000001</v>
      </c>
    </row>
    <row r="41" spans="3:33">
      <c r="C41" t="s">
        <v>10</v>
      </c>
      <c r="D41" s="2">
        <f t="shared" ref="D41:Z41" si="13">D12/$AB12*100</f>
        <v>0</v>
      </c>
      <c r="E41" s="2">
        <f t="shared" si="13"/>
        <v>0.66666666666666674</v>
      </c>
      <c r="F41" s="2">
        <f t="shared" si="13"/>
        <v>0.66666666666666674</v>
      </c>
      <c r="G41" s="2">
        <f t="shared" si="13"/>
        <v>1.3333333333333335</v>
      </c>
      <c r="H41" s="2">
        <f t="shared" si="13"/>
        <v>16</v>
      </c>
      <c r="I41" s="2">
        <f t="shared" si="13"/>
        <v>10</v>
      </c>
      <c r="J41" s="2">
        <f t="shared" si="13"/>
        <v>0</v>
      </c>
      <c r="K41" s="2">
        <f t="shared" si="13"/>
        <v>2.666666666666667</v>
      </c>
      <c r="L41" s="2">
        <f t="shared" si="13"/>
        <v>6</v>
      </c>
      <c r="M41" s="2">
        <f t="shared" si="13"/>
        <v>0</v>
      </c>
      <c r="N41" s="3">
        <f t="shared" si="13"/>
        <v>30</v>
      </c>
      <c r="O41" s="2">
        <f t="shared" si="13"/>
        <v>0</v>
      </c>
      <c r="P41" s="2">
        <f t="shared" si="13"/>
        <v>8</v>
      </c>
      <c r="Q41" s="2">
        <f t="shared" si="13"/>
        <v>6</v>
      </c>
      <c r="R41" s="2">
        <f t="shared" si="13"/>
        <v>14.000000000000002</v>
      </c>
      <c r="S41" s="2">
        <f t="shared" si="13"/>
        <v>0</v>
      </c>
      <c r="T41" s="2">
        <f t="shared" si="13"/>
        <v>0</v>
      </c>
      <c r="U41" s="2">
        <f t="shared" si="13"/>
        <v>0</v>
      </c>
      <c r="V41" s="2">
        <f t="shared" si="13"/>
        <v>0.66666666666666674</v>
      </c>
      <c r="W41" s="2">
        <f t="shared" si="13"/>
        <v>2</v>
      </c>
      <c r="X41" s="2">
        <f t="shared" si="13"/>
        <v>0.66666666666666674</v>
      </c>
      <c r="Y41" s="2">
        <f t="shared" si="13"/>
        <v>1.3333333333333335</v>
      </c>
      <c r="Z41" s="2">
        <f t="shared" si="13"/>
        <v>0</v>
      </c>
      <c r="AB41" s="2">
        <f t="shared" si="4"/>
        <v>100.00000000000001</v>
      </c>
    </row>
    <row r="42" spans="3:33">
      <c r="C42" t="s">
        <v>11</v>
      </c>
      <c r="D42" s="2">
        <f t="shared" ref="D42:Z42" si="14">D13/$AB13*100</f>
        <v>9.3333333333333339</v>
      </c>
      <c r="E42" s="2">
        <f t="shared" si="14"/>
        <v>10.666666666666668</v>
      </c>
      <c r="F42" s="2">
        <f t="shared" si="14"/>
        <v>6</v>
      </c>
      <c r="G42" s="2">
        <f t="shared" si="14"/>
        <v>8</v>
      </c>
      <c r="H42" s="2">
        <f t="shared" si="14"/>
        <v>1.3333333333333335</v>
      </c>
      <c r="I42" s="2">
        <f t="shared" si="14"/>
        <v>0.66666666666666674</v>
      </c>
      <c r="J42" s="2">
        <f t="shared" si="14"/>
        <v>3.3333333333333335</v>
      </c>
      <c r="K42" s="2">
        <f t="shared" si="14"/>
        <v>0</v>
      </c>
      <c r="L42" s="2">
        <f t="shared" si="14"/>
        <v>7.333333333333333</v>
      </c>
      <c r="M42" s="2">
        <f t="shared" si="14"/>
        <v>0</v>
      </c>
      <c r="N42" s="2">
        <f t="shared" si="14"/>
        <v>2.666666666666667</v>
      </c>
      <c r="O42" s="3">
        <f t="shared" si="14"/>
        <v>36</v>
      </c>
      <c r="P42" s="2">
        <f t="shared" si="14"/>
        <v>6</v>
      </c>
      <c r="Q42" s="2">
        <f t="shared" si="14"/>
        <v>2</v>
      </c>
      <c r="R42" s="2">
        <f t="shared" si="14"/>
        <v>4</v>
      </c>
      <c r="S42" s="2">
        <f t="shared" si="14"/>
        <v>0.66666666666666674</v>
      </c>
      <c r="T42" s="2">
        <f t="shared" si="14"/>
        <v>0</v>
      </c>
      <c r="U42" s="2">
        <f t="shared" si="14"/>
        <v>0.66666666666666674</v>
      </c>
      <c r="V42" s="2">
        <f t="shared" si="14"/>
        <v>0.66666666666666674</v>
      </c>
      <c r="W42" s="2">
        <f t="shared" si="14"/>
        <v>0</v>
      </c>
      <c r="X42" s="2">
        <f t="shared" si="14"/>
        <v>0</v>
      </c>
      <c r="Y42" s="2">
        <f t="shared" si="14"/>
        <v>0</v>
      </c>
      <c r="Z42" s="2">
        <f t="shared" si="14"/>
        <v>0.66666666666666674</v>
      </c>
      <c r="AB42" s="2">
        <f t="shared" si="4"/>
        <v>100.00000000000003</v>
      </c>
    </row>
    <row r="43" spans="3:33">
      <c r="C43" t="s">
        <v>12</v>
      </c>
      <c r="D43" s="2">
        <f t="shared" ref="D43:Z43" si="15">D14/$AB14*100</f>
        <v>7.333333333333333</v>
      </c>
      <c r="E43" s="2">
        <f t="shared" si="15"/>
        <v>12</v>
      </c>
      <c r="F43" s="2">
        <f t="shared" si="15"/>
        <v>4.666666666666667</v>
      </c>
      <c r="G43" s="2">
        <f t="shared" si="15"/>
        <v>7.333333333333333</v>
      </c>
      <c r="H43" s="2">
        <f t="shared" si="15"/>
        <v>4</v>
      </c>
      <c r="I43" s="2">
        <f t="shared" si="15"/>
        <v>3.3333333333333335</v>
      </c>
      <c r="J43" s="2">
        <f t="shared" si="15"/>
        <v>1.3333333333333335</v>
      </c>
      <c r="K43" s="2">
        <f t="shared" si="15"/>
        <v>0</v>
      </c>
      <c r="L43" s="2">
        <f t="shared" si="15"/>
        <v>8</v>
      </c>
      <c r="M43" s="2">
        <f t="shared" si="15"/>
        <v>0</v>
      </c>
      <c r="N43" s="2">
        <f t="shared" si="15"/>
        <v>1.3333333333333335</v>
      </c>
      <c r="O43" s="2">
        <f t="shared" si="15"/>
        <v>24</v>
      </c>
      <c r="P43" s="3">
        <f t="shared" si="15"/>
        <v>13.333333333333334</v>
      </c>
      <c r="Q43" s="2">
        <f t="shared" si="15"/>
        <v>2.666666666666667</v>
      </c>
      <c r="R43" s="2">
        <f t="shared" si="15"/>
        <v>6.666666666666667</v>
      </c>
      <c r="S43" s="2">
        <f t="shared" si="15"/>
        <v>2</v>
      </c>
      <c r="T43" s="2">
        <f t="shared" si="15"/>
        <v>0</v>
      </c>
      <c r="U43" s="2">
        <f t="shared" si="15"/>
        <v>0.66666666666666674</v>
      </c>
      <c r="V43" s="2">
        <f t="shared" si="15"/>
        <v>0</v>
      </c>
      <c r="W43" s="2">
        <f t="shared" si="15"/>
        <v>0</v>
      </c>
      <c r="X43" s="2">
        <f t="shared" si="15"/>
        <v>0</v>
      </c>
      <c r="Y43" s="2">
        <f t="shared" si="15"/>
        <v>0</v>
      </c>
      <c r="Z43" s="2">
        <f t="shared" si="15"/>
        <v>1.3333333333333335</v>
      </c>
      <c r="AB43" s="2">
        <f t="shared" si="4"/>
        <v>100.00000000000001</v>
      </c>
    </row>
    <row r="44" spans="3:33">
      <c r="C44" t="s">
        <v>13</v>
      </c>
      <c r="D44" s="2">
        <f t="shared" ref="D44:Z44" si="16">D15/$AB15*100</f>
        <v>0.66666666666666674</v>
      </c>
      <c r="E44" s="2">
        <f t="shared" si="16"/>
        <v>1.3333333333333335</v>
      </c>
      <c r="F44" s="2">
        <f t="shared" si="16"/>
        <v>0.66666666666666674</v>
      </c>
      <c r="G44" s="2">
        <f t="shared" si="16"/>
        <v>11.333333333333332</v>
      </c>
      <c r="H44" s="2">
        <f t="shared" si="16"/>
        <v>10</v>
      </c>
      <c r="I44" s="2">
        <f t="shared" si="16"/>
        <v>4.666666666666667</v>
      </c>
      <c r="J44" s="2">
        <f t="shared" si="16"/>
        <v>0</v>
      </c>
      <c r="K44" s="2">
        <f t="shared" si="16"/>
        <v>0</v>
      </c>
      <c r="L44" s="2">
        <f t="shared" si="16"/>
        <v>0</v>
      </c>
      <c r="M44" s="2">
        <f t="shared" si="16"/>
        <v>0.66666666666666674</v>
      </c>
      <c r="N44" s="2">
        <f t="shared" si="16"/>
        <v>2</v>
      </c>
      <c r="O44" s="2">
        <f t="shared" si="16"/>
        <v>2.666666666666667</v>
      </c>
      <c r="P44" s="2">
        <f t="shared" si="16"/>
        <v>11.333333333333332</v>
      </c>
      <c r="Q44" s="3">
        <f t="shared" si="16"/>
        <v>22.666666666666664</v>
      </c>
      <c r="R44" s="2">
        <f t="shared" si="16"/>
        <v>20.666666666666668</v>
      </c>
      <c r="S44" s="2">
        <f t="shared" si="16"/>
        <v>0</v>
      </c>
      <c r="T44" s="2">
        <f t="shared" si="16"/>
        <v>0.66666666666666674</v>
      </c>
      <c r="U44" s="2">
        <f t="shared" si="16"/>
        <v>0.66666666666666674</v>
      </c>
      <c r="V44" s="2">
        <f t="shared" si="16"/>
        <v>6</v>
      </c>
      <c r="W44" s="2">
        <f t="shared" si="16"/>
        <v>1.3333333333333335</v>
      </c>
      <c r="X44" s="2">
        <f t="shared" si="16"/>
        <v>1.3333333333333335</v>
      </c>
      <c r="Y44" s="2">
        <f t="shared" si="16"/>
        <v>0</v>
      </c>
      <c r="Z44" s="2">
        <f t="shared" si="16"/>
        <v>1.3333333333333335</v>
      </c>
      <c r="AB44" s="2">
        <f t="shared" si="4"/>
        <v>100</v>
      </c>
    </row>
    <row r="45" spans="3:33">
      <c r="C45" t="s">
        <v>14</v>
      </c>
      <c r="D45" s="2">
        <f t="shared" ref="D45:Z45" si="17">D16/$AB16*100</f>
        <v>2.666666666666667</v>
      </c>
      <c r="E45" s="2">
        <f t="shared" si="17"/>
        <v>1.3333333333333335</v>
      </c>
      <c r="F45" s="2">
        <f t="shared" si="17"/>
        <v>1.3333333333333335</v>
      </c>
      <c r="G45" s="2">
        <f t="shared" si="17"/>
        <v>4</v>
      </c>
      <c r="H45" s="2">
        <f t="shared" si="17"/>
        <v>8</v>
      </c>
      <c r="I45" s="2">
        <f t="shared" si="17"/>
        <v>4.666666666666667</v>
      </c>
      <c r="J45" s="2">
        <f t="shared" si="17"/>
        <v>2</v>
      </c>
      <c r="K45" s="2">
        <f t="shared" si="17"/>
        <v>0</v>
      </c>
      <c r="L45" s="2">
        <f t="shared" si="17"/>
        <v>2.666666666666667</v>
      </c>
      <c r="M45" s="2">
        <f t="shared" si="17"/>
        <v>0.66666666666666674</v>
      </c>
      <c r="N45" s="2">
        <f t="shared" si="17"/>
        <v>9.3333333333333339</v>
      </c>
      <c r="O45" s="2">
        <f t="shared" si="17"/>
        <v>1.3333333333333335</v>
      </c>
      <c r="P45" s="2">
        <f t="shared" si="17"/>
        <v>10.666666666666668</v>
      </c>
      <c r="Q45" s="2">
        <f t="shared" si="17"/>
        <v>10.666666666666668</v>
      </c>
      <c r="R45" s="3">
        <f t="shared" si="17"/>
        <v>30</v>
      </c>
      <c r="S45" s="2">
        <f t="shared" si="17"/>
        <v>0.66666666666666674</v>
      </c>
      <c r="T45" s="2">
        <f t="shared" si="17"/>
        <v>1.3333333333333335</v>
      </c>
      <c r="U45" s="2">
        <f t="shared" si="17"/>
        <v>1.3333333333333335</v>
      </c>
      <c r="V45" s="2">
        <f t="shared" si="17"/>
        <v>3.3333333333333335</v>
      </c>
      <c r="W45" s="2">
        <f t="shared" si="17"/>
        <v>2.666666666666667</v>
      </c>
      <c r="X45" s="2">
        <f t="shared" si="17"/>
        <v>0.66666666666666674</v>
      </c>
      <c r="Y45" s="2">
        <f t="shared" si="17"/>
        <v>0</v>
      </c>
      <c r="Z45" s="2">
        <f t="shared" si="17"/>
        <v>0.66666666666666674</v>
      </c>
      <c r="AB45" s="2">
        <f t="shared" si="4"/>
        <v>100.00000000000001</v>
      </c>
    </row>
    <row r="46" spans="3:33">
      <c r="C46" t="s">
        <v>15</v>
      </c>
      <c r="D46" s="2">
        <f t="shared" ref="D46:Z46" si="18">D17/$AB17*100</f>
        <v>19.333333333333332</v>
      </c>
      <c r="E46" s="2">
        <f t="shared" si="18"/>
        <v>28.000000000000004</v>
      </c>
      <c r="F46" s="2">
        <f t="shared" si="18"/>
        <v>22</v>
      </c>
      <c r="G46" s="2">
        <f t="shared" si="18"/>
        <v>0.66666666666666674</v>
      </c>
      <c r="H46" s="2">
        <f t="shared" si="18"/>
        <v>0</v>
      </c>
      <c r="I46" s="2">
        <f t="shared" si="18"/>
        <v>0</v>
      </c>
      <c r="J46" s="2">
        <f t="shared" si="18"/>
        <v>1.3333333333333335</v>
      </c>
      <c r="K46" s="2">
        <f t="shared" si="18"/>
        <v>0</v>
      </c>
      <c r="L46" s="2">
        <f t="shared" si="18"/>
        <v>0</v>
      </c>
      <c r="M46" s="2">
        <f t="shared" si="18"/>
        <v>0</v>
      </c>
      <c r="N46" s="2">
        <f t="shared" si="18"/>
        <v>0</v>
      </c>
      <c r="O46" s="2">
        <f t="shared" si="18"/>
        <v>3.3333333333333335</v>
      </c>
      <c r="P46" s="2">
        <f t="shared" si="18"/>
        <v>1.3333333333333335</v>
      </c>
      <c r="Q46" s="2">
        <f t="shared" si="18"/>
        <v>0.66666666666666674</v>
      </c>
      <c r="R46" s="2">
        <f t="shared" si="18"/>
        <v>0</v>
      </c>
      <c r="S46" s="3">
        <f t="shared" si="18"/>
        <v>12.666666666666668</v>
      </c>
      <c r="T46" s="2">
        <f t="shared" si="18"/>
        <v>1.3333333333333335</v>
      </c>
      <c r="U46" s="2">
        <f t="shared" si="18"/>
        <v>0</v>
      </c>
      <c r="V46" s="2">
        <f t="shared" si="18"/>
        <v>0</v>
      </c>
      <c r="W46" s="2">
        <f t="shared" si="18"/>
        <v>0</v>
      </c>
      <c r="X46" s="2">
        <f t="shared" si="18"/>
        <v>0</v>
      </c>
      <c r="Y46" s="2">
        <f t="shared" si="18"/>
        <v>0</v>
      </c>
      <c r="Z46" s="2">
        <f t="shared" si="18"/>
        <v>9.3333333333333339</v>
      </c>
      <c r="AB46" s="2">
        <f t="shared" si="4"/>
        <v>100</v>
      </c>
    </row>
    <row r="47" spans="3:33">
      <c r="C47" t="s">
        <v>16</v>
      </c>
      <c r="D47" s="2">
        <f t="shared" ref="D47:Z47" si="19">D18/$AB18*100</f>
        <v>0</v>
      </c>
      <c r="E47" s="2">
        <f t="shared" si="19"/>
        <v>0.66666666666666674</v>
      </c>
      <c r="F47" s="2">
        <f t="shared" si="19"/>
        <v>0.66666666666666674</v>
      </c>
      <c r="G47" s="2">
        <f t="shared" si="19"/>
        <v>0</v>
      </c>
      <c r="H47" s="2">
        <f t="shared" si="19"/>
        <v>0</v>
      </c>
      <c r="I47" s="2">
        <f t="shared" si="19"/>
        <v>0</v>
      </c>
      <c r="J47" s="2">
        <f t="shared" si="19"/>
        <v>0.66666666666666674</v>
      </c>
      <c r="K47" s="2">
        <f t="shared" si="19"/>
        <v>0</v>
      </c>
      <c r="L47" s="2">
        <f t="shared" si="19"/>
        <v>0</v>
      </c>
      <c r="M47" s="2">
        <f t="shared" si="19"/>
        <v>0</v>
      </c>
      <c r="N47" s="2">
        <f t="shared" si="19"/>
        <v>0</v>
      </c>
      <c r="O47" s="2">
        <f t="shared" si="19"/>
        <v>0</v>
      </c>
      <c r="P47" s="2">
        <f t="shared" si="19"/>
        <v>0</v>
      </c>
      <c r="Q47" s="2">
        <f t="shared" si="19"/>
        <v>0.66666666666666674</v>
      </c>
      <c r="R47" s="2">
        <f t="shared" si="19"/>
        <v>0</v>
      </c>
      <c r="S47" s="2">
        <f t="shared" si="19"/>
        <v>1.3333333333333335</v>
      </c>
      <c r="T47" s="3">
        <f t="shared" si="19"/>
        <v>78.666666666666657</v>
      </c>
      <c r="U47" s="2">
        <f t="shared" si="19"/>
        <v>17.333333333333336</v>
      </c>
      <c r="V47" s="2">
        <f t="shared" si="19"/>
        <v>0</v>
      </c>
      <c r="W47" s="2">
        <f t="shared" si="19"/>
        <v>0</v>
      </c>
      <c r="X47" s="2">
        <f t="shared" si="19"/>
        <v>0</v>
      </c>
      <c r="Y47" s="2">
        <f t="shared" si="19"/>
        <v>0</v>
      </c>
      <c r="Z47" s="2">
        <f t="shared" si="19"/>
        <v>0</v>
      </c>
      <c r="AB47" s="2">
        <f t="shared" si="4"/>
        <v>100</v>
      </c>
    </row>
    <row r="48" spans="3:33">
      <c r="C48" t="s">
        <v>17</v>
      </c>
      <c r="D48" s="2">
        <f t="shared" ref="D48:Z48" si="20">D19/$AB19*100</f>
        <v>0</v>
      </c>
      <c r="E48" s="2">
        <f t="shared" si="20"/>
        <v>0</v>
      </c>
      <c r="F48" s="2">
        <f t="shared" si="20"/>
        <v>0</v>
      </c>
      <c r="G48" s="2">
        <f t="shared" si="20"/>
        <v>0</v>
      </c>
      <c r="H48" s="2">
        <f t="shared" si="20"/>
        <v>0</v>
      </c>
      <c r="I48" s="2">
        <f t="shared" si="20"/>
        <v>0</v>
      </c>
      <c r="J48" s="2">
        <f t="shared" si="20"/>
        <v>0</v>
      </c>
      <c r="K48" s="2">
        <f t="shared" si="20"/>
        <v>0</v>
      </c>
      <c r="L48" s="2">
        <f t="shared" si="20"/>
        <v>1.3333333333333335</v>
      </c>
      <c r="M48" s="2">
        <f t="shared" si="20"/>
        <v>0</v>
      </c>
      <c r="N48" s="2">
        <f t="shared" si="20"/>
        <v>0</v>
      </c>
      <c r="O48" s="2">
        <f t="shared" si="20"/>
        <v>0</v>
      </c>
      <c r="P48" s="2">
        <f t="shared" si="20"/>
        <v>0</v>
      </c>
      <c r="Q48" s="2">
        <f t="shared" si="20"/>
        <v>0</v>
      </c>
      <c r="R48" s="2">
        <f t="shared" si="20"/>
        <v>0</v>
      </c>
      <c r="S48" s="2">
        <f t="shared" si="20"/>
        <v>0</v>
      </c>
      <c r="T48" s="2">
        <f t="shared" si="20"/>
        <v>13.333333333333334</v>
      </c>
      <c r="U48" s="3">
        <f t="shared" si="20"/>
        <v>84</v>
      </c>
      <c r="V48" s="2">
        <f t="shared" si="20"/>
        <v>0</v>
      </c>
      <c r="W48" s="2">
        <f t="shared" si="20"/>
        <v>0</v>
      </c>
      <c r="X48" s="2">
        <f t="shared" si="20"/>
        <v>0</v>
      </c>
      <c r="Y48" s="2">
        <f t="shared" si="20"/>
        <v>0.66666666666666674</v>
      </c>
      <c r="Z48" s="2">
        <f t="shared" si="20"/>
        <v>0.66666666666666674</v>
      </c>
      <c r="AB48" s="2">
        <f t="shared" si="4"/>
        <v>100.00000000000001</v>
      </c>
    </row>
    <row r="49" spans="1:28">
      <c r="C49" t="s">
        <v>18</v>
      </c>
      <c r="D49" s="2">
        <f t="shared" ref="D49:Z49" si="21">D20/$AB20*100</f>
        <v>2</v>
      </c>
      <c r="E49" s="2">
        <f t="shared" si="21"/>
        <v>0</v>
      </c>
      <c r="F49" s="2">
        <f t="shared" si="21"/>
        <v>0.66666666666666674</v>
      </c>
      <c r="G49" s="2">
        <f t="shared" si="21"/>
        <v>7.333333333333333</v>
      </c>
      <c r="H49" s="2">
        <f t="shared" si="21"/>
        <v>0.66666666666666674</v>
      </c>
      <c r="I49" s="2">
        <f t="shared" si="21"/>
        <v>2.666666666666667</v>
      </c>
      <c r="J49" s="2">
        <f t="shared" si="21"/>
        <v>0.66666666666666674</v>
      </c>
      <c r="K49" s="2">
        <f t="shared" si="21"/>
        <v>0.66666666666666674</v>
      </c>
      <c r="L49" s="2">
        <f t="shared" si="21"/>
        <v>0</v>
      </c>
      <c r="M49" s="2">
        <f t="shared" si="21"/>
        <v>0</v>
      </c>
      <c r="N49" s="2">
        <f t="shared" si="21"/>
        <v>0</v>
      </c>
      <c r="O49" s="2">
        <f t="shared" si="21"/>
        <v>3.3333333333333335</v>
      </c>
      <c r="P49" s="2">
        <f t="shared" si="21"/>
        <v>0</v>
      </c>
      <c r="Q49" s="2">
        <f t="shared" si="21"/>
        <v>0</v>
      </c>
      <c r="R49" s="2">
        <f t="shared" si="21"/>
        <v>0</v>
      </c>
      <c r="S49" s="2">
        <f t="shared" si="21"/>
        <v>1.3333333333333335</v>
      </c>
      <c r="T49" s="2">
        <f t="shared" si="21"/>
        <v>1.3333333333333335</v>
      </c>
      <c r="U49" s="2">
        <f t="shared" si="21"/>
        <v>2</v>
      </c>
      <c r="V49" s="3">
        <f t="shared" si="21"/>
        <v>71.333333333333343</v>
      </c>
      <c r="W49" s="2">
        <f t="shared" si="21"/>
        <v>2</v>
      </c>
      <c r="X49" s="2">
        <f t="shared" si="21"/>
        <v>0.66666666666666674</v>
      </c>
      <c r="Y49" s="2">
        <f t="shared" si="21"/>
        <v>1.3333333333333335</v>
      </c>
      <c r="Z49" s="2">
        <f t="shared" si="21"/>
        <v>2</v>
      </c>
      <c r="AB49" s="2">
        <f t="shared" si="4"/>
        <v>100</v>
      </c>
    </row>
    <row r="50" spans="1:28">
      <c r="C50" t="s">
        <v>19</v>
      </c>
      <c r="D50" s="2">
        <f t="shared" ref="D50:Z50" si="22">D21/$AB21*100</f>
        <v>0</v>
      </c>
      <c r="E50" s="2">
        <f t="shared" si="22"/>
        <v>0.66666666666666674</v>
      </c>
      <c r="F50" s="2">
        <f t="shared" si="22"/>
        <v>0.66666666666666674</v>
      </c>
      <c r="G50" s="2">
        <f t="shared" si="22"/>
        <v>1.3333333333333335</v>
      </c>
      <c r="H50" s="2">
        <f t="shared" si="22"/>
        <v>0.66666666666666674</v>
      </c>
      <c r="I50" s="2">
        <f t="shared" si="22"/>
        <v>4.666666666666667</v>
      </c>
      <c r="J50" s="2">
        <f t="shared" si="22"/>
        <v>0</v>
      </c>
      <c r="K50" s="2">
        <f t="shared" si="22"/>
        <v>0.66666666666666674</v>
      </c>
      <c r="L50" s="2">
        <f t="shared" si="22"/>
        <v>0</v>
      </c>
      <c r="M50" s="2">
        <f t="shared" si="22"/>
        <v>0</v>
      </c>
      <c r="N50" s="2">
        <f t="shared" si="22"/>
        <v>0.66666666666666674</v>
      </c>
      <c r="O50" s="2">
        <f t="shared" si="22"/>
        <v>0.66666666666666674</v>
      </c>
      <c r="P50" s="2">
        <f t="shared" si="22"/>
        <v>0</v>
      </c>
      <c r="Q50" s="2">
        <f t="shared" si="22"/>
        <v>0</v>
      </c>
      <c r="R50" s="2">
        <f t="shared" si="22"/>
        <v>0</v>
      </c>
      <c r="S50" s="2">
        <f t="shared" si="22"/>
        <v>0</v>
      </c>
      <c r="T50" s="2">
        <f t="shared" si="22"/>
        <v>0</v>
      </c>
      <c r="U50" s="2">
        <f t="shared" si="22"/>
        <v>0.66666666666666674</v>
      </c>
      <c r="V50" s="2">
        <f t="shared" si="22"/>
        <v>20</v>
      </c>
      <c r="W50" s="3">
        <f t="shared" si="22"/>
        <v>45.333333333333329</v>
      </c>
      <c r="X50" s="2">
        <f t="shared" si="22"/>
        <v>9.3333333333333339</v>
      </c>
      <c r="Y50" s="2">
        <f t="shared" si="22"/>
        <v>13.333333333333334</v>
      </c>
      <c r="Z50" s="2">
        <f t="shared" si="22"/>
        <v>1.3333333333333335</v>
      </c>
      <c r="AB50" s="2">
        <f t="shared" si="4"/>
        <v>99.999999999999986</v>
      </c>
    </row>
    <row r="51" spans="1:28">
      <c r="C51" t="s">
        <v>20</v>
      </c>
      <c r="D51" s="2">
        <f t="shared" ref="D51:Z51" si="23">D22/$AB22*100</f>
        <v>0</v>
      </c>
      <c r="E51" s="2">
        <f t="shared" si="23"/>
        <v>2.666666666666667</v>
      </c>
      <c r="F51" s="2">
        <f t="shared" si="23"/>
        <v>0.66666666666666674</v>
      </c>
      <c r="G51" s="2">
        <f t="shared" si="23"/>
        <v>1.3333333333333335</v>
      </c>
      <c r="H51" s="2">
        <f t="shared" si="23"/>
        <v>0.66666666666666674</v>
      </c>
      <c r="I51" s="2">
        <f t="shared" si="23"/>
        <v>1.3333333333333335</v>
      </c>
      <c r="J51" s="2">
        <f t="shared" si="23"/>
        <v>0.66666666666666674</v>
      </c>
      <c r="K51" s="2">
        <f t="shared" si="23"/>
        <v>0.66666666666666674</v>
      </c>
      <c r="L51" s="2">
        <f t="shared" si="23"/>
        <v>0.66666666666666674</v>
      </c>
      <c r="M51" s="2">
        <f t="shared" si="23"/>
        <v>0</v>
      </c>
      <c r="N51" s="2">
        <f t="shared" si="23"/>
        <v>0.66666666666666674</v>
      </c>
      <c r="O51" s="2">
        <f t="shared" si="23"/>
        <v>0.66666666666666674</v>
      </c>
      <c r="P51" s="2">
        <f t="shared" si="23"/>
        <v>0</v>
      </c>
      <c r="Q51" s="2">
        <f t="shared" si="23"/>
        <v>0.66666666666666674</v>
      </c>
      <c r="R51" s="2">
        <f t="shared" si="23"/>
        <v>1.3333333333333335</v>
      </c>
      <c r="S51" s="2">
        <f t="shared" si="23"/>
        <v>1.3333333333333335</v>
      </c>
      <c r="T51" s="2">
        <f t="shared" si="23"/>
        <v>0.66666666666666674</v>
      </c>
      <c r="U51" s="2">
        <f t="shared" si="23"/>
        <v>0</v>
      </c>
      <c r="V51" s="2">
        <f t="shared" si="23"/>
        <v>9.3333333333333339</v>
      </c>
      <c r="W51" s="2">
        <f t="shared" si="23"/>
        <v>14.666666666666666</v>
      </c>
      <c r="X51" s="3">
        <f t="shared" si="23"/>
        <v>50</v>
      </c>
      <c r="Y51" s="2">
        <f t="shared" si="23"/>
        <v>11.333333333333332</v>
      </c>
      <c r="Z51" s="2">
        <f t="shared" si="23"/>
        <v>0.66666666666666674</v>
      </c>
      <c r="AB51" s="2">
        <f t="shared" si="4"/>
        <v>100</v>
      </c>
    </row>
    <row r="52" spans="1:28">
      <c r="C52" t="s">
        <v>21</v>
      </c>
      <c r="D52" s="2">
        <f t="shared" ref="D52:Z52" si="24">D23/$AB23*100</f>
        <v>0</v>
      </c>
      <c r="E52" s="2">
        <f t="shared" si="24"/>
        <v>0</v>
      </c>
      <c r="F52" s="2">
        <f t="shared" si="24"/>
        <v>0</v>
      </c>
      <c r="G52" s="2">
        <f t="shared" si="24"/>
        <v>1.3333333333333335</v>
      </c>
      <c r="H52" s="2">
        <f t="shared" si="24"/>
        <v>0.66666666666666674</v>
      </c>
      <c r="I52" s="2">
        <f t="shared" si="24"/>
        <v>3.3333333333333335</v>
      </c>
      <c r="J52" s="2">
        <f t="shared" si="24"/>
        <v>0</v>
      </c>
      <c r="K52" s="2">
        <f t="shared" si="24"/>
        <v>0</v>
      </c>
      <c r="L52" s="2">
        <f t="shared" si="24"/>
        <v>0.66666666666666674</v>
      </c>
      <c r="M52" s="2">
        <f t="shared" si="24"/>
        <v>0</v>
      </c>
      <c r="N52" s="2">
        <f t="shared" si="24"/>
        <v>0.66666666666666674</v>
      </c>
      <c r="O52" s="2">
        <f t="shared" si="24"/>
        <v>0</v>
      </c>
      <c r="P52" s="2">
        <f t="shared" si="24"/>
        <v>0</v>
      </c>
      <c r="Q52" s="2">
        <f t="shared" si="24"/>
        <v>2</v>
      </c>
      <c r="R52" s="2">
        <f t="shared" si="24"/>
        <v>0</v>
      </c>
      <c r="S52" s="2">
        <f t="shared" si="24"/>
        <v>0.66666666666666674</v>
      </c>
      <c r="T52" s="2">
        <f t="shared" si="24"/>
        <v>2</v>
      </c>
      <c r="U52" s="2">
        <f t="shared" si="24"/>
        <v>0.66666666666666674</v>
      </c>
      <c r="V52" s="2">
        <f t="shared" si="24"/>
        <v>2</v>
      </c>
      <c r="W52" s="2">
        <f t="shared" si="24"/>
        <v>4</v>
      </c>
      <c r="X52" s="2">
        <f t="shared" si="24"/>
        <v>3.3333333333333335</v>
      </c>
      <c r="Y52" s="3">
        <f t="shared" si="24"/>
        <v>72</v>
      </c>
      <c r="Z52" s="2">
        <f t="shared" si="24"/>
        <v>6.666666666666667</v>
      </c>
      <c r="AB52" s="2">
        <f t="shared" si="4"/>
        <v>100</v>
      </c>
    </row>
    <row r="53" spans="1:28">
      <c r="C53" t="s">
        <v>22</v>
      </c>
      <c r="D53" s="2">
        <f t="shared" ref="D53:Z53" si="25">D24/$AB24*100</f>
        <v>2</v>
      </c>
      <c r="E53" s="2">
        <f t="shared" si="25"/>
        <v>3.3333333333333335</v>
      </c>
      <c r="F53" s="2">
        <f t="shared" si="25"/>
        <v>6.666666666666667</v>
      </c>
      <c r="G53" s="2">
        <f t="shared" si="25"/>
        <v>2</v>
      </c>
      <c r="H53" s="2">
        <f t="shared" si="25"/>
        <v>0.66666666666666674</v>
      </c>
      <c r="I53" s="2">
        <f t="shared" si="25"/>
        <v>0.66666666666666674</v>
      </c>
      <c r="J53" s="2">
        <f t="shared" si="25"/>
        <v>0</v>
      </c>
      <c r="K53" s="2">
        <f t="shared" si="25"/>
        <v>0.66666666666666674</v>
      </c>
      <c r="L53" s="2">
        <f t="shared" si="25"/>
        <v>0</v>
      </c>
      <c r="M53" s="2">
        <f t="shared" si="25"/>
        <v>0</v>
      </c>
      <c r="N53" s="2">
        <f t="shared" si="25"/>
        <v>0</v>
      </c>
      <c r="O53" s="2">
        <f t="shared" si="25"/>
        <v>2.666666666666667</v>
      </c>
      <c r="P53" s="2">
        <f t="shared" si="25"/>
        <v>1.3333333333333335</v>
      </c>
      <c r="Q53" s="2">
        <f t="shared" si="25"/>
        <v>0.66666666666666674</v>
      </c>
      <c r="R53" s="2">
        <f t="shared" si="25"/>
        <v>1.3333333333333335</v>
      </c>
      <c r="S53" s="2">
        <f t="shared" si="25"/>
        <v>7.333333333333333</v>
      </c>
      <c r="T53" s="2">
        <f t="shared" si="25"/>
        <v>0.66666666666666674</v>
      </c>
      <c r="U53" s="2">
        <f t="shared" si="25"/>
        <v>1.3333333333333335</v>
      </c>
      <c r="V53" s="2">
        <f t="shared" si="25"/>
        <v>2</v>
      </c>
      <c r="W53" s="2">
        <f t="shared" si="25"/>
        <v>2</v>
      </c>
      <c r="X53" s="2">
        <f t="shared" si="25"/>
        <v>0.66666666666666674</v>
      </c>
      <c r="Y53" s="2">
        <f t="shared" si="25"/>
        <v>1.3333333333333335</v>
      </c>
      <c r="Z53" s="3">
        <f t="shared" si="25"/>
        <v>62.666666666666671</v>
      </c>
      <c r="AB53" s="2">
        <f t="shared" si="4"/>
        <v>100</v>
      </c>
    </row>
    <row r="58" spans="1:28">
      <c r="A58" s="9" t="s">
        <v>25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8"/>
    </row>
    <row r="60" spans="1:28">
      <c r="D60">
        <v>4</v>
      </c>
      <c r="E60">
        <v>5</v>
      </c>
      <c r="F60">
        <v>6</v>
      </c>
      <c r="G60">
        <v>7</v>
      </c>
      <c r="H60">
        <v>8</v>
      </c>
      <c r="I60">
        <v>9</v>
      </c>
      <c r="J60">
        <v>10</v>
      </c>
      <c r="K60">
        <v>11</v>
      </c>
      <c r="L60">
        <v>12</v>
      </c>
      <c r="M60">
        <v>13</v>
      </c>
      <c r="N60">
        <v>14</v>
      </c>
      <c r="O60">
        <v>15</v>
      </c>
      <c r="P60">
        <v>16</v>
      </c>
      <c r="Q60">
        <v>17</v>
      </c>
      <c r="R60">
        <v>18</v>
      </c>
      <c r="S60">
        <v>19</v>
      </c>
      <c r="T60">
        <v>20</v>
      </c>
      <c r="U60">
        <v>21</v>
      </c>
      <c r="V60">
        <v>22</v>
      </c>
      <c r="W60">
        <v>23</v>
      </c>
      <c r="X60">
        <v>24</v>
      </c>
      <c r="Y60">
        <v>25</v>
      </c>
      <c r="Z60">
        <v>26</v>
      </c>
    </row>
    <row r="61" spans="1:28">
      <c r="D61">
        <v>31</v>
      </c>
      <c r="E61">
        <v>32</v>
      </c>
      <c r="F61">
        <v>33</v>
      </c>
      <c r="G61">
        <v>34</v>
      </c>
      <c r="H61">
        <v>35</v>
      </c>
      <c r="I61">
        <v>36</v>
      </c>
      <c r="J61">
        <v>37</v>
      </c>
      <c r="K61">
        <v>38</v>
      </c>
      <c r="L61">
        <v>39</v>
      </c>
      <c r="M61">
        <v>40</v>
      </c>
      <c r="N61">
        <v>41</v>
      </c>
      <c r="O61">
        <v>42</v>
      </c>
      <c r="P61">
        <v>43</v>
      </c>
      <c r="Q61">
        <v>44</v>
      </c>
      <c r="R61">
        <v>45</v>
      </c>
      <c r="S61">
        <v>46</v>
      </c>
      <c r="T61">
        <v>47</v>
      </c>
      <c r="U61">
        <v>48</v>
      </c>
      <c r="V61">
        <v>49</v>
      </c>
      <c r="W61">
        <v>50</v>
      </c>
      <c r="X61">
        <v>51</v>
      </c>
      <c r="Y61">
        <v>52</v>
      </c>
      <c r="Z61">
        <v>53</v>
      </c>
    </row>
    <row r="63" spans="1:28">
      <c r="C63" s="1" t="s">
        <v>23</v>
      </c>
      <c r="D63" t="s">
        <v>0</v>
      </c>
      <c r="E63" t="s">
        <v>1</v>
      </c>
      <c r="F63" t="s">
        <v>2</v>
      </c>
      <c r="G63" t="s">
        <v>3</v>
      </c>
      <c r="H63" t="s">
        <v>4</v>
      </c>
      <c r="I63" t="s">
        <v>5</v>
      </c>
      <c r="J63" t="s">
        <v>6</v>
      </c>
      <c r="K63" t="s">
        <v>7</v>
      </c>
      <c r="L63" t="s">
        <v>8</v>
      </c>
      <c r="M63" t="s">
        <v>9</v>
      </c>
      <c r="N63" t="s">
        <v>10</v>
      </c>
      <c r="O63" t="s">
        <v>11</v>
      </c>
      <c r="P63" t="s">
        <v>12</v>
      </c>
      <c r="Q63" t="s">
        <v>13</v>
      </c>
      <c r="R63" t="s">
        <v>14</v>
      </c>
      <c r="S63" t="s">
        <v>15</v>
      </c>
      <c r="T63" t="s">
        <v>16</v>
      </c>
      <c r="U63" t="s">
        <v>17</v>
      </c>
      <c r="V63" t="s">
        <v>18</v>
      </c>
      <c r="W63" t="s">
        <v>19</v>
      </c>
      <c r="X63" t="s">
        <v>20</v>
      </c>
      <c r="Y63" t="s">
        <v>21</v>
      </c>
      <c r="Z63" t="s">
        <v>22</v>
      </c>
    </row>
    <row r="64" spans="1:28">
      <c r="A64">
        <v>31</v>
      </c>
      <c r="B64">
        <v>4</v>
      </c>
      <c r="C64" t="s">
        <v>0</v>
      </c>
      <c r="D64" s="3">
        <f ca="1">AVERAGE(INDIRECT((ADDRESS($A64,D$60))),INDIRECT((ADDRESS(D$61,$B64))))</f>
        <v>26.666666666666668</v>
      </c>
      <c r="E64" s="2">
        <f t="shared" ref="E64:Z75" ca="1" si="26">AVERAGE(INDIRECT((ADDRESS($A64,E$60))),INDIRECT((ADDRESS(E$61,$B64))))</f>
        <v>19.666666666666664</v>
      </c>
      <c r="F64" s="2">
        <f t="shared" ca="1" si="26"/>
        <v>14</v>
      </c>
      <c r="G64" s="2">
        <f t="shared" ca="1" si="26"/>
        <v>3.666666666666667</v>
      </c>
      <c r="H64" s="2">
        <f t="shared" ca="1" si="26"/>
        <v>0.33333333333333337</v>
      </c>
      <c r="I64" s="2">
        <f t="shared" ca="1" si="26"/>
        <v>0.33333333333333337</v>
      </c>
      <c r="J64" s="2">
        <f t="shared" ca="1" si="26"/>
        <v>0.33333333333333337</v>
      </c>
      <c r="K64" s="2">
        <f t="shared" ca="1" si="26"/>
        <v>0</v>
      </c>
      <c r="L64" s="2">
        <f t="shared" ca="1" si="26"/>
        <v>1.3333333333333335</v>
      </c>
      <c r="M64" s="2">
        <f t="shared" ca="1" si="26"/>
        <v>0.33333333333333337</v>
      </c>
      <c r="N64" s="2">
        <f t="shared" ca="1" si="26"/>
        <v>0</v>
      </c>
      <c r="O64" s="2">
        <f t="shared" ca="1" si="26"/>
        <v>6.3333333333333339</v>
      </c>
      <c r="P64" s="2">
        <f t="shared" ca="1" si="26"/>
        <v>4</v>
      </c>
      <c r="Q64" s="5">
        <f t="shared" ca="1" si="26"/>
        <v>1.3333333333333335</v>
      </c>
      <c r="R64" s="5">
        <f t="shared" ca="1" si="26"/>
        <v>1.3333333333333335</v>
      </c>
      <c r="S64" s="5">
        <f t="shared" ca="1" si="26"/>
        <v>11.333333333333332</v>
      </c>
      <c r="T64" s="5">
        <f t="shared" ca="1" si="26"/>
        <v>0</v>
      </c>
      <c r="U64" s="5">
        <f t="shared" ca="1" si="26"/>
        <v>0</v>
      </c>
      <c r="V64" s="5">
        <f t="shared" ca="1" si="26"/>
        <v>1.3333333333333335</v>
      </c>
      <c r="W64" s="5">
        <f t="shared" ca="1" si="26"/>
        <v>0</v>
      </c>
      <c r="X64" s="5">
        <f t="shared" ca="1" si="26"/>
        <v>0</v>
      </c>
      <c r="Y64" s="5">
        <f t="shared" ca="1" si="26"/>
        <v>0</v>
      </c>
      <c r="Z64" s="5">
        <f t="shared" ca="1" si="26"/>
        <v>3</v>
      </c>
    </row>
    <row r="65" spans="1:26">
      <c r="A65">
        <v>32</v>
      </c>
      <c r="B65">
        <v>5</v>
      </c>
      <c r="C65" t="s">
        <v>1</v>
      </c>
      <c r="D65" s="2">
        <f t="shared" ref="D65:S86" ca="1" si="27">AVERAGE(INDIRECT((ADDRESS($A65,D$60))),INDIRECT((ADDRESS(D$61,$B65))))</f>
        <v>19.666666666666664</v>
      </c>
      <c r="E65" s="3">
        <f t="shared" ca="1" si="26"/>
        <v>68.666666666666671</v>
      </c>
      <c r="F65" s="2">
        <f t="shared" ca="1" si="26"/>
        <v>14.666666666666668</v>
      </c>
      <c r="G65" s="2">
        <f t="shared" ca="1" si="26"/>
        <v>2</v>
      </c>
      <c r="H65" s="2">
        <f t="shared" ca="1" si="26"/>
        <v>3</v>
      </c>
      <c r="I65" s="2">
        <f t="shared" ca="1" si="26"/>
        <v>0</v>
      </c>
      <c r="J65" s="2">
        <f t="shared" ca="1" si="26"/>
        <v>3.3333333333333335</v>
      </c>
      <c r="K65" s="2">
        <f t="shared" ca="1" si="26"/>
        <v>0.33333333333333337</v>
      </c>
      <c r="L65" s="2">
        <f t="shared" ca="1" si="26"/>
        <v>6.333333333333333</v>
      </c>
      <c r="M65" s="2">
        <f t="shared" ca="1" si="26"/>
        <v>0</v>
      </c>
      <c r="N65" s="2">
        <f t="shared" ca="1" si="26"/>
        <v>0.33333333333333337</v>
      </c>
      <c r="O65" s="2">
        <f t="shared" ca="1" si="26"/>
        <v>5.3333333333333339</v>
      </c>
      <c r="P65" s="2">
        <f t="shared" ca="1" si="26"/>
        <v>6.333333333333333</v>
      </c>
      <c r="Q65" s="5">
        <f t="shared" ca="1" si="26"/>
        <v>0.66666666666666674</v>
      </c>
      <c r="R65" s="5">
        <f t="shared" ca="1" si="26"/>
        <v>1.3333333333333335</v>
      </c>
      <c r="S65" s="5">
        <f t="shared" ca="1" si="26"/>
        <v>14.333333333333336</v>
      </c>
      <c r="T65" s="5">
        <f t="shared" ca="1" si="26"/>
        <v>0.33333333333333337</v>
      </c>
      <c r="U65" s="5">
        <f t="shared" ca="1" si="26"/>
        <v>0.33333333333333337</v>
      </c>
      <c r="V65" s="5">
        <f t="shared" ca="1" si="26"/>
        <v>0</v>
      </c>
      <c r="W65" s="5">
        <f t="shared" ca="1" si="26"/>
        <v>1.3333333333333335</v>
      </c>
      <c r="X65" s="5">
        <f t="shared" ca="1" si="26"/>
        <v>1.3333333333333335</v>
      </c>
      <c r="Y65" s="5">
        <f t="shared" ca="1" si="26"/>
        <v>0</v>
      </c>
      <c r="Z65" s="5">
        <f t="shared" ca="1" si="26"/>
        <v>3</v>
      </c>
    </row>
    <row r="66" spans="1:26">
      <c r="A66">
        <v>33</v>
      </c>
      <c r="B66">
        <v>6</v>
      </c>
      <c r="C66" t="s">
        <v>2</v>
      </c>
      <c r="D66" s="2">
        <f t="shared" ca="1" si="27"/>
        <v>14</v>
      </c>
      <c r="E66" s="2">
        <f t="shared" ca="1" si="26"/>
        <v>14.666666666666668</v>
      </c>
      <c r="F66" s="3">
        <f t="shared" ca="1" si="26"/>
        <v>68</v>
      </c>
      <c r="G66" s="2">
        <f t="shared" ca="1" si="26"/>
        <v>3.666666666666667</v>
      </c>
      <c r="H66" s="2">
        <f t="shared" ca="1" si="26"/>
        <v>0.33333333333333337</v>
      </c>
      <c r="I66" s="2">
        <f t="shared" ca="1" si="26"/>
        <v>0.33333333333333337</v>
      </c>
      <c r="J66" s="2">
        <f t="shared" ca="1" si="26"/>
        <v>1.666666666666667</v>
      </c>
      <c r="K66" s="2">
        <f t="shared" ca="1" si="26"/>
        <v>0.33333333333333337</v>
      </c>
      <c r="L66" s="2">
        <f t="shared" ca="1" si="26"/>
        <v>0.33333333333333337</v>
      </c>
      <c r="M66" s="2">
        <f t="shared" ca="1" si="26"/>
        <v>0</v>
      </c>
      <c r="N66" s="2">
        <f t="shared" ca="1" si="26"/>
        <v>0.33333333333333337</v>
      </c>
      <c r="O66" s="2">
        <f t="shared" ca="1" si="26"/>
        <v>3</v>
      </c>
      <c r="P66" s="2">
        <f t="shared" ca="1" si="26"/>
        <v>2.666666666666667</v>
      </c>
      <c r="Q66" s="5">
        <f t="shared" ca="1" si="26"/>
        <v>0.33333333333333337</v>
      </c>
      <c r="R66" s="5">
        <f t="shared" ca="1" si="26"/>
        <v>0.66666666666666674</v>
      </c>
      <c r="S66" s="5">
        <f t="shared" ca="1" si="26"/>
        <v>11.333333333333334</v>
      </c>
      <c r="T66" s="5">
        <f t="shared" ca="1" si="26"/>
        <v>0.33333333333333337</v>
      </c>
      <c r="U66" s="5">
        <f t="shared" ca="1" si="26"/>
        <v>0</v>
      </c>
      <c r="V66" s="5">
        <f t="shared" ca="1" si="26"/>
        <v>0.33333333333333337</v>
      </c>
      <c r="W66" s="5">
        <f t="shared" ca="1" si="26"/>
        <v>0.66666666666666674</v>
      </c>
      <c r="X66" s="5">
        <f t="shared" ca="1" si="26"/>
        <v>0.33333333333333337</v>
      </c>
      <c r="Y66" s="5">
        <f t="shared" ca="1" si="26"/>
        <v>0</v>
      </c>
      <c r="Z66" s="5">
        <f t="shared" ca="1" si="26"/>
        <v>4.3333333333333339</v>
      </c>
    </row>
    <row r="67" spans="1:26">
      <c r="A67">
        <v>34</v>
      </c>
      <c r="B67">
        <v>7</v>
      </c>
      <c r="C67" t="s">
        <v>3</v>
      </c>
      <c r="D67" s="2">
        <f t="shared" ca="1" si="27"/>
        <v>3.666666666666667</v>
      </c>
      <c r="E67" s="2">
        <f t="shared" ca="1" si="26"/>
        <v>2</v>
      </c>
      <c r="F67" s="2">
        <f t="shared" ca="1" si="26"/>
        <v>3.666666666666667</v>
      </c>
      <c r="G67" s="3">
        <f t="shared" ca="1" si="26"/>
        <v>26</v>
      </c>
      <c r="H67" s="2">
        <f t="shared" ca="1" si="26"/>
        <v>11.333333333333334</v>
      </c>
      <c r="I67" s="2">
        <f t="shared" ca="1" si="26"/>
        <v>5.666666666666667</v>
      </c>
      <c r="J67" s="2">
        <f t="shared" ca="1" si="26"/>
        <v>0.33333333333333337</v>
      </c>
      <c r="K67" s="2">
        <f t="shared" ca="1" si="26"/>
        <v>0.33333333333333337</v>
      </c>
      <c r="L67" s="2">
        <f t="shared" ca="1" si="26"/>
        <v>1.6666666666666667</v>
      </c>
      <c r="M67" s="2">
        <f t="shared" ca="1" si="26"/>
        <v>0</v>
      </c>
      <c r="N67" s="2">
        <f t="shared" ca="1" si="26"/>
        <v>0.66666666666666674</v>
      </c>
      <c r="O67" s="2">
        <f t="shared" ca="1" si="26"/>
        <v>7.6666666666666661</v>
      </c>
      <c r="P67" s="2">
        <f t="shared" ca="1" si="26"/>
        <v>4.6666666666666661</v>
      </c>
      <c r="Q67" s="5">
        <f t="shared" ca="1" si="26"/>
        <v>8.6666666666666661</v>
      </c>
      <c r="R67" s="5">
        <f t="shared" ca="1" si="26"/>
        <v>6</v>
      </c>
      <c r="S67" s="5">
        <f t="shared" ca="1" si="26"/>
        <v>0.33333333333333337</v>
      </c>
      <c r="T67" s="5">
        <f t="shared" ca="1" si="26"/>
        <v>0</v>
      </c>
      <c r="U67" s="5">
        <f t="shared" ca="1" si="26"/>
        <v>0</v>
      </c>
      <c r="V67" s="5">
        <f t="shared" ca="1" si="26"/>
        <v>4.6666666666666661</v>
      </c>
      <c r="W67" s="5">
        <f t="shared" ca="1" si="26"/>
        <v>1</v>
      </c>
      <c r="X67" s="5">
        <f t="shared" ca="1" si="26"/>
        <v>1</v>
      </c>
      <c r="Y67" s="5">
        <f t="shared" ca="1" si="26"/>
        <v>1</v>
      </c>
      <c r="Z67" s="5">
        <f t="shared" ca="1" si="26"/>
        <v>2.3333333333333335</v>
      </c>
    </row>
    <row r="68" spans="1:26">
      <c r="A68">
        <v>35</v>
      </c>
      <c r="B68">
        <v>8</v>
      </c>
      <c r="C68" t="s">
        <v>4</v>
      </c>
      <c r="D68" s="2">
        <f t="shared" ca="1" si="27"/>
        <v>0.33333333333333337</v>
      </c>
      <c r="E68" s="2">
        <f t="shared" ca="1" si="26"/>
        <v>3</v>
      </c>
      <c r="F68" s="2">
        <f t="shared" ca="1" si="26"/>
        <v>0.33333333333333337</v>
      </c>
      <c r="G68" s="2">
        <f t="shared" ca="1" si="26"/>
        <v>11.333333333333334</v>
      </c>
      <c r="H68" s="3">
        <f t="shared" ca="1" si="26"/>
        <v>76</v>
      </c>
      <c r="I68" s="2">
        <f t="shared" ca="1" si="26"/>
        <v>8.6666666666666679</v>
      </c>
      <c r="J68" s="2">
        <f t="shared" ca="1" si="26"/>
        <v>0.66666666666666674</v>
      </c>
      <c r="K68" s="2">
        <f t="shared" ca="1" si="26"/>
        <v>2</v>
      </c>
      <c r="L68" s="2">
        <f t="shared" ca="1" si="26"/>
        <v>3.3333333333333335</v>
      </c>
      <c r="M68" s="2">
        <f t="shared" ca="1" si="26"/>
        <v>0</v>
      </c>
      <c r="N68" s="2">
        <f t="shared" ca="1" si="26"/>
        <v>8.3333333333333339</v>
      </c>
      <c r="O68" s="2">
        <f t="shared" ca="1" si="26"/>
        <v>1</v>
      </c>
      <c r="P68" s="2">
        <f t="shared" ca="1" si="26"/>
        <v>3.666666666666667</v>
      </c>
      <c r="Q68" s="5">
        <f t="shared" ca="1" si="26"/>
        <v>5</v>
      </c>
      <c r="R68" s="5">
        <f t="shared" ca="1" si="26"/>
        <v>5.3333333333333339</v>
      </c>
      <c r="S68" s="5">
        <f t="shared" ca="1" si="26"/>
        <v>0</v>
      </c>
      <c r="T68" s="5">
        <f t="shared" ca="1" si="26"/>
        <v>0</v>
      </c>
      <c r="U68" s="5">
        <f t="shared" ca="1" si="26"/>
        <v>0</v>
      </c>
      <c r="V68" s="5">
        <f t="shared" ca="1" si="26"/>
        <v>0.33333333333333337</v>
      </c>
      <c r="W68" s="5">
        <f t="shared" ca="1" si="26"/>
        <v>0.33333333333333337</v>
      </c>
      <c r="X68" s="5">
        <f t="shared" ca="1" si="26"/>
        <v>0.33333333333333337</v>
      </c>
      <c r="Y68" s="5">
        <f t="shared" ca="1" si="26"/>
        <v>0.33333333333333337</v>
      </c>
      <c r="Z68" s="5">
        <f t="shared" ca="1" si="26"/>
        <v>0.66666666666666674</v>
      </c>
    </row>
    <row r="69" spans="1:26">
      <c r="A69">
        <v>36</v>
      </c>
      <c r="B69">
        <v>9</v>
      </c>
      <c r="C69" t="s">
        <v>5</v>
      </c>
      <c r="D69" s="2">
        <f t="shared" ca="1" si="27"/>
        <v>0.33333333333333337</v>
      </c>
      <c r="E69" s="2">
        <f t="shared" ca="1" si="26"/>
        <v>0</v>
      </c>
      <c r="F69" s="2">
        <f t="shared" ca="1" si="26"/>
        <v>0.33333333333333337</v>
      </c>
      <c r="G69" s="2">
        <f t="shared" ca="1" si="26"/>
        <v>5.666666666666667</v>
      </c>
      <c r="H69" s="2">
        <f t="shared" ca="1" si="26"/>
        <v>8.6666666666666679</v>
      </c>
      <c r="I69" s="3">
        <f t="shared" ca="1" si="26"/>
        <v>49.333333333333336</v>
      </c>
      <c r="J69" s="2">
        <f t="shared" ca="1" si="26"/>
        <v>0</v>
      </c>
      <c r="K69" s="2">
        <f t="shared" ca="1" si="26"/>
        <v>4.3333333333333339</v>
      </c>
      <c r="L69" s="2">
        <f t="shared" ca="1" si="26"/>
        <v>1</v>
      </c>
      <c r="M69" s="2">
        <f t="shared" ca="1" si="26"/>
        <v>0</v>
      </c>
      <c r="N69" s="2">
        <f t="shared" ca="1" si="26"/>
        <v>5</v>
      </c>
      <c r="O69" s="2">
        <f t="shared" ca="1" si="26"/>
        <v>0.66666666666666674</v>
      </c>
      <c r="P69" s="2">
        <f t="shared" ca="1" si="26"/>
        <v>1.6666666666666667</v>
      </c>
      <c r="Q69" s="5">
        <f t="shared" ca="1" si="26"/>
        <v>5</v>
      </c>
      <c r="R69" s="5">
        <f t="shared" ca="1" si="26"/>
        <v>2.666666666666667</v>
      </c>
      <c r="S69" s="5">
        <f t="shared" ca="1" si="26"/>
        <v>0.66666666666666674</v>
      </c>
      <c r="T69" s="5">
        <f t="shared" ca="1" si="26"/>
        <v>0</v>
      </c>
      <c r="U69" s="5">
        <f t="shared" ca="1" si="26"/>
        <v>0</v>
      </c>
      <c r="V69" s="5">
        <f t="shared" ca="1" si="26"/>
        <v>1.3333333333333335</v>
      </c>
      <c r="W69" s="5">
        <f t="shared" ca="1" si="26"/>
        <v>3</v>
      </c>
      <c r="X69" s="5">
        <f t="shared" ca="1" si="26"/>
        <v>2.3333333333333335</v>
      </c>
      <c r="Y69" s="5">
        <f t="shared" ca="1" si="26"/>
        <v>7.333333333333333</v>
      </c>
      <c r="Z69" s="5">
        <f t="shared" ca="1" si="26"/>
        <v>1.666666666666667</v>
      </c>
    </row>
    <row r="70" spans="1:26">
      <c r="A70">
        <v>37</v>
      </c>
      <c r="B70">
        <v>10</v>
      </c>
      <c r="C70" t="s">
        <v>6</v>
      </c>
      <c r="D70" s="2">
        <f t="shared" ca="1" si="27"/>
        <v>0.33333333333333337</v>
      </c>
      <c r="E70" s="2">
        <f t="shared" ca="1" si="26"/>
        <v>3.3333333333333335</v>
      </c>
      <c r="F70" s="2">
        <f t="shared" ca="1" si="26"/>
        <v>1.666666666666667</v>
      </c>
      <c r="G70" s="2">
        <f t="shared" ca="1" si="26"/>
        <v>0.33333333333333337</v>
      </c>
      <c r="H70" s="2">
        <f t="shared" ca="1" si="26"/>
        <v>0.66666666666666674</v>
      </c>
      <c r="I70" s="2">
        <f t="shared" ca="1" si="26"/>
        <v>0</v>
      </c>
      <c r="J70" s="3">
        <f t="shared" ca="1" si="26"/>
        <v>92</v>
      </c>
      <c r="K70" s="2">
        <f t="shared" ca="1" si="26"/>
        <v>1.3333333333333335</v>
      </c>
      <c r="L70" s="2">
        <f t="shared" ca="1" si="26"/>
        <v>3</v>
      </c>
      <c r="M70" s="2">
        <f t="shared" ca="1" si="26"/>
        <v>27.333333333333336</v>
      </c>
      <c r="N70" s="2">
        <f t="shared" ca="1" si="26"/>
        <v>0</v>
      </c>
      <c r="O70" s="2">
        <f t="shared" ca="1" si="26"/>
        <v>1.6666666666666667</v>
      </c>
      <c r="P70" s="2">
        <f t="shared" ca="1" si="26"/>
        <v>0.66666666666666674</v>
      </c>
      <c r="Q70" s="5">
        <f t="shared" ca="1" si="26"/>
        <v>0</v>
      </c>
      <c r="R70" s="5">
        <f t="shared" ca="1" si="26"/>
        <v>1</v>
      </c>
      <c r="S70" s="5">
        <f t="shared" ca="1" si="26"/>
        <v>0.66666666666666674</v>
      </c>
      <c r="T70" s="5">
        <f t="shared" ca="1" si="26"/>
        <v>0.66666666666666674</v>
      </c>
      <c r="U70" s="5">
        <f t="shared" ca="1" si="26"/>
        <v>0</v>
      </c>
      <c r="V70" s="5">
        <f t="shared" ca="1" si="26"/>
        <v>0.33333333333333337</v>
      </c>
      <c r="W70" s="5">
        <f t="shared" ca="1" si="26"/>
        <v>0</v>
      </c>
      <c r="X70" s="5">
        <f t="shared" ca="1" si="26"/>
        <v>0.33333333333333337</v>
      </c>
      <c r="Y70" s="5">
        <f t="shared" ca="1" si="26"/>
        <v>0</v>
      </c>
      <c r="Z70" s="5">
        <f t="shared" ca="1" si="26"/>
        <v>0.33333333333333337</v>
      </c>
    </row>
    <row r="71" spans="1:26">
      <c r="A71">
        <v>38</v>
      </c>
      <c r="B71">
        <v>11</v>
      </c>
      <c r="C71" t="s">
        <v>7</v>
      </c>
      <c r="D71" s="2">
        <f t="shared" ca="1" si="27"/>
        <v>0</v>
      </c>
      <c r="E71" s="2">
        <f t="shared" ca="1" si="26"/>
        <v>0.33333333333333337</v>
      </c>
      <c r="F71" s="2">
        <f t="shared" ca="1" si="26"/>
        <v>0.33333333333333337</v>
      </c>
      <c r="G71" s="2">
        <f t="shared" ca="1" si="26"/>
        <v>0.33333333333333337</v>
      </c>
      <c r="H71" s="2">
        <f t="shared" ca="1" si="26"/>
        <v>2</v>
      </c>
      <c r="I71" s="2">
        <f t="shared" ca="1" si="26"/>
        <v>4.3333333333333339</v>
      </c>
      <c r="J71" s="2">
        <f t="shared" ca="1" si="26"/>
        <v>1.3333333333333335</v>
      </c>
      <c r="K71" s="3">
        <f t="shared" ca="1" si="26"/>
        <v>86.666666666666671</v>
      </c>
      <c r="L71" s="2">
        <f t="shared" ca="1" si="26"/>
        <v>1</v>
      </c>
      <c r="M71" s="2">
        <f t="shared" ca="1" si="26"/>
        <v>1</v>
      </c>
      <c r="N71" s="2">
        <f t="shared" ca="1" si="26"/>
        <v>1.3333333333333335</v>
      </c>
      <c r="O71" s="2">
        <f t="shared" ca="1" si="26"/>
        <v>0.33333333333333337</v>
      </c>
      <c r="P71" s="2">
        <f t="shared" ca="1" si="26"/>
        <v>0</v>
      </c>
      <c r="Q71" s="5">
        <f t="shared" ca="1" si="26"/>
        <v>0</v>
      </c>
      <c r="R71" s="5">
        <f t="shared" ca="1" si="26"/>
        <v>0</v>
      </c>
      <c r="S71" s="5">
        <f t="shared" ca="1" si="26"/>
        <v>0</v>
      </c>
      <c r="T71" s="5">
        <f t="shared" ca="1" si="26"/>
        <v>0</v>
      </c>
      <c r="U71" s="5">
        <f t="shared" ca="1" si="26"/>
        <v>0</v>
      </c>
      <c r="V71" s="5">
        <f t="shared" ca="1" si="26"/>
        <v>0.33333333333333337</v>
      </c>
      <c r="W71" s="5">
        <f t="shared" ca="1" si="26"/>
        <v>0.33333333333333337</v>
      </c>
      <c r="X71" s="5">
        <f t="shared" ca="1" si="26"/>
        <v>0.33333333333333337</v>
      </c>
      <c r="Y71" s="5">
        <f t="shared" ca="1" si="26"/>
        <v>0</v>
      </c>
      <c r="Z71" s="5">
        <f t="shared" ca="1" si="26"/>
        <v>0.66666666666666674</v>
      </c>
    </row>
    <row r="72" spans="1:26">
      <c r="A72">
        <v>39</v>
      </c>
      <c r="B72">
        <v>12</v>
      </c>
      <c r="C72" t="s">
        <v>8</v>
      </c>
      <c r="D72" s="2">
        <f t="shared" ca="1" si="27"/>
        <v>1.3333333333333335</v>
      </c>
      <c r="E72" s="2">
        <f t="shared" ca="1" si="26"/>
        <v>6.333333333333333</v>
      </c>
      <c r="F72" s="2">
        <f t="shared" ca="1" si="26"/>
        <v>0.33333333333333337</v>
      </c>
      <c r="G72" s="2">
        <f t="shared" ca="1" si="26"/>
        <v>1.6666666666666667</v>
      </c>
      <c r="H72" s="2">
        <f t="shared" ca="1" si="26"/>
        <v>3.3333333333333335</v>
      </c>
      <c r="I72" s="2">
        <f t="shared" ca="1" si="26"/>
        <v>1</v>
      </c>
      <c r="J72" s="2">
        <f t="shared" ca="1" si="26"/>
        <v>3</v>
      </c>
      <c r="K72" s="2">
        <f t="shared" ca="1" si="26"/>
        <v>1</v>
      </c>
      <c r="L72" s="3">
        <f t="shared" ca="1" si="26"/>
        <v>36.666666666666664</v>
      </c>
      <c r="M72" s="2">
        <f t="shared" ca="1" si="26"/>
        <v>1</v>
      </c>
      <c r="N72" s="2">
        <f t="shared" ca="1" si="26"/>
        <v>8.3333333333333339</v>
      </c>
      <c r="O72" s="2">
        <f t="shared" ca="1" si="26"/>
        <v>7.333333333333333</v>
      </c>
      <c r="P72" s="2">
        <f t="shared" ca="1" si="26"/>
        <v>8.3333333333333339</v>
      </c>
      <c r="Q72" s="5">
        <f t="shared" ca="1" si="26"/>
        <v>0</v>
      </c>
      <c r="R72" s="5">
        <f t="shared" ca="1" si="26"/>
        <v>3.666666666666667</v>
      </c>
      <c r="S72" s="5">
        <f t="shared" ca="1" si="26"/>
        <v>0</v>
      </c>
      <c r="T72" s="5">
        <f t="shared" ca="1" si="26"/>
        <v>0.33333333333333337</v>
      </c>
      <c r="U72" s="5">
        <f t="shared" ca="1" si="26"/>
        <v>1</v>
      </c>
      <c r="V72" s="5">
        <f t="shared" ca="1" si="26"/>
        <v>0</v>
      </c>
      <c r="W72" s="5">
        <f t="shared" ca="1" si="26"/>
        <v>0</v>
      </c>
      <c r="X72" s="5">
        <f t="shared" ca="1" si="26"/>
        <v>0.33333333333333337</v>
      </c>
      <c r="Y72" s="5">
        <f t="shared" ca="1" si="26"/>
        <v>0.66666666666666674</v>
      </c>
      <c r="Z72" s="5">
        <f t="shared" ca="1" si="26"/>
        <v>0</v>
      </c>
    </row>
    <row r="73" spans="1:26">
      <c r="A73">
        <v>40</v>
      </c>
      <c r="B73">
        <v>13</v>
      </c>
      <c r="C73" t="s">
        <v>9</v>
      </c>
      <c r="D73" s="2">
        <f t="shared" ca="1" si="27"/>
        <v>0.33333333333333337</v>
      </c>
      <c r="E73" s="2">
        <f t="shared" ca="1" si="26"/>
        <v>0</v>
      </c>
      <c r="F73" s="2">
        <f t="shared" ca="1" si="26"/>
        <v>0</v>
      </c>
      <c r="G73" s="2">
        <f t="shared" ca="1" si="26"/>
        <v>0</v>
      </c>
      <c r="H73" s="2">
        <f t="shared" ca="1" si="26"/>
        <v>0</v>
      </c>
      <c r="I73" s="2">
        <f t="shared" ca="1" si="26"/>
        <v>0</v>
      </c>
      <c r="J73" s="2">
        <f t="shared" ca="1" si="26"/>
        <v>27.333333333333336</v>
      </c>
      <c r="K73" s="2">
        <f t="shared" ca="1" si="26"/>
        <v>1</v>
      </c>
      <c r="L73" s="4">
        <f t="shared" ca="1" si="26"/>
        <v>1</v>
      </c>
      <c r="M73" s="3">
        <f t="shared" ca="1" si="26"/>
        <v>41.333333333333336</v>
      </c>
      <c r="N73" s="2">
        <f t="shared" ca="1" si="26"/>
        <v>0</v>
      </c>
      <c r="O73" s="2">
        <f t="shared" ca="1" si="26"/>
        <v>0.33333333333333337</v>
      </c>
      <c r="P73" s="2">
        <f t="shared" ca="1" si="26"/>
        <v>0</v>
      </c>
      <c r="Q73" s="2">
        <f t="shared" ca="1" si="26"/>
        <v>0.33333333333333337</v>
      </c>
      <c r="R73" s="2">
        <f t="shared" ca="1" si="26"/>
        <v>0.33333333333333337</v>
      </c>
      <c r="S73" s="2">
        <f t="shared" ca="1" si="26"/>
        <v>0</v>
      </c>
      <c r="T73" s="2">
        <f t="shared" ca="1" si="26"/>
        <v>0</v>
      </c>
      <c r="U73" s="2">
        <f t="shared" ca="1" si="26"/>
        <v>0</v>
      </c>
      <c r="V73" s="2">
        <f t="shared" ca="1" si="26"/>
        <v>0</v>
      </c>
      <c r="W73" s="2">
        <f t="shared" ca="1" si="26"/>
        <v>0</v>
      </c>
      <c r="X73" s="2">
        <f t="shared" ca="1" si="26"/>
        <v>0</v>
      </c>
      <c r="Y73" s="2">
        <f t="shared" ca="1" si="26"/>
        <v>0</v>
      </c>
      <c r="Z73" s="2">
        <f t="shared" ca="1" si="26"/>
        <v>0.33333333333333337</v>
      </c>
    </row>
    <row r="74" spans="1:26">
      <c r="A74">
        <v>41</v>
      </c>
      <c r="B74">
        <v>14</v>
      </c>
      <c r="C74" t="s">
        <v>10</v>
      </c>
      <c r="D74" s="2">
        <f t="shared" ca="1" si="27"/>
        <v>0</v>
      </c>
      <c r="E74" s="2">
        <f t="shared" ca="1" si="26"/>
        <v>0.33333333333333337</v>
      </c>
      <c r="F74" s="2">
        <f t="shared" ca="1" si="26"/>
        <v>0.33333333333333337</v>
      </c>
      <c r="G74" s="2">
        <f t="shared" ca="1" si="26"/>
        <v>0.66666666666666674</v>
      </c>
      <c r="H74" s="2">
        <f t="shared" ca="1" si="26"/>
        <v>8.3333333333333339</v>
      </c>
      <c r="I74" s="2">
        <f t="shared" ca="1" si="26"/>
        <v>5</v>
      </c>
      <c r="J74" s="2">
        <f t="shared" ca="1" si="26"/>
        <v>0</v>
      </c>
      <c r="K74" s="2">
        <f t="shared" ca="1" si="26"/>
        <v>1.3333333333333335</v>
      </c>
      <c r="L74" s="2">
        <f t="shared" ca="1" si="26"/>
        <v>8.3333333333333339</v>
      </c>
      <c r="M74" s="2">
        <f t="shared" ca="1" si="26"/>
        <v>0</v>
      </c>
      <c r="N74" s="3">
        <f t="shared" ca="1" si="26"/>
        <v>30</v>
      </c>
      <c r="O74" s="2">
        <f t="shared" ca="1" si="26"/>
        <v>1.3333333333333335</v>
      </c>
      <c r="P74" s="2">
        <f t="shared" ca="1" si="26"/>
        <v>4.666666666666667</v>
      </c>
      <c r="Q74" s="2">
        <f t="shared" ca="1" si="26"/>
        <v>4</v>
      </c>
      <c r="R74" s="2">
        <f t="shared" ca="1" si="26"/>
        <v>11.666666666666668</v>
      </c>
      <c r="S74" s="2">
        <f t="shared" ca="1" si="26"/>
        <v>0</v>
      </c>
      <c r="T74" s="2">
        <f t="shared" ca="1" si="26"/>
        <v>0</v>
      </c>
      <c r="U74" s="2">
        <f t="shared" ca="1" si="26"/>
        <v>0</v>
      </c>
      <c r="V74" s="2">
        <f t="shared" ca="1" si="26"/>
        <v>0.33333333333333337</v>
      </c>
      <c r="W74" s="2">
        <f t="shared" ca="1" si="26"/>
        <v>1.3333333333333335</v>
      </c>
      <c r="X74" s="2">
        <f t="shared" ca="1" si="26"/>
        <v>0.66666666666666674</v>
      </c>
      <c r="Y74" s="2">
        <f t="shared" ca="1" si="26"/>
        <v>1</v>
      </c>
      <c r="Z74" s="2">
        <f t="shared" ca="1" si="26"/>
        <v>0</v>
      </c>
    </row>
    <row r="75" spans="1:26">
      <c r="A75">
        <v>42</v>
      </c>
      <c r="B75">
        <v>15</v>
      </c>
      <c r="C75" t="s">
        <v>11</v>
      </c>
      <c r="D75" s="2">
        <f t="shared" ca="1" si="27"/>
        <v>6.3333333333333339</v>
      </c>
      <c r="E75" s="2">
        <f t="shared" ca="1" si="26"/>
        <v>5.3333333333333339</v>
      </c>
      <c r="F75" s="2">
        <f t="shared" ca="1" si="26"/>
        <v>3</v>
      </c>
      <c r="G75" s="2">
        <f t="shared" ca="1" si="26"/>
        <v>7.6666666666666661</v>
      </c>
      <c r="H75" s="2">
        <f t="shared" ca="1" si="26"/>
        <v>1</v>
      </c>
      <c r="I75" s="2">
        <f t="shared" ca="1" si="26"/>
        <v>0.66666666666666674</v>
      </c>
      <c r="J75" s="2">
        <f t="shared" ca="1" si="26"/>
        <v>1.6666666666666667</v>
      </c>
      <c r="K75" s="2">
        <f t="shared" ca="1" si="26"/>
        <v>0.33333333333333337</v>
      </c>
      <c r="L75" s="2">
        <f t="shared" ca="1" si="26"/>
        <v>7.333333333333333</v>
      </c>
      <c r="M75" s="2">
        <f t="shared" ca="1" si="26"/>
        <v>0.33333333333333337</v>
      </c>
      <c r="N75" s="2">
        <f t="shared" ca="1" si="26"/>
        <v>1.3333333333333335</v>
      </c>
      <c r="O75" s="3">
        <f t="shared" ca="1" si="26"/>
        <v>36</v>
      </c>
      <c r="P75" s="2">
        <f t="shared" ca="1" si="26"/>
        <v>15</v>
      </c>
      <c r="Q75" s="2">
        <f t="shared" ca="1" si="26"/>
        <v>2.3333333333333335</v>
      </c>
      <c r="R75" s="2">
        <f t="shared" ref="R75:Z86" ca="1" si="28">AVERAGE(INDIRECT((ADDRESS($A75,R$60))),INDIRECT((ADDRESS(R$61,$B75))))</f>
        <v>2.666666666666667</v>
      </c>
      <c r="S75" s="2">
        <f t="shared" ca="1" si="28"/>
        <v>2</v>
      </c>
      <c r="T75" s="2">
        <f t="shared" ca="1" si="28"/>
        <v>0</v>
      </c>
      <c r="U75" s="2">
        <f t="shared" ca="1" si="28"/>
        <v>0.33333333333333337</v>
      </c>
      <c r="V75" s="2">
        <f t="shared" ca="1" si="28"/>
        <v>2</v>
      </c>
      <c r="W75" s="2">
        <f t="shared" ca="1" si="28"/>
        <v>0.33333333333333337</v>
      </c>
      <c r="X75" s="2">
        <f t="shared" ca="1" si="28"/>
        <v>0.33333333333333337</v>
      </c>
      <c r="Y75" s="2">
        <f t="shared" ca="1" si="28"/>
        <v>0</v>
      </c>
      <c r="Z75" s="2">
        <f t="shared" ca="1" si="28"/>
        <v>1.666666666666667</v>
      </c>
    </row>
    <row r="76" spans="1:26">
      <c r="A76">
        <v>43</v>
      </c>
      <c r="B76">
        <v>16</v>
      </c>
      <c r="C76" t="s">
        <v>12</v>
      </c>
      <c r="D76" s="2">
        <f t="shared" ca="1" si="27"/>
        <v>4</v>
      </c>
      <c r="E76" s="2">
        <f t="shared" ca="1" si="27"/>
        <v>6.333333333333333</v>
      </c>
      <c r="F76" s="2">
        <f t="shared" ca="1" si="27"/>
        <v>2.666666666666667</v>
      </c>
      <c r="G76" s="2">
        <f t="shared" ca="1" si="27"/>
        <v>4.6666666666666661</v>
      </c>
      <c r="H76" s="2">
        <f t="shared" ca="1" si="27"/>
        <v>3.666666666666667</v>
      </c>
      <c r="I76" s="2">
        <f t="shared" ca="1" si="27"/>
        <v>1.6666666666666667</v>
      </c>
      <c r="J76" s="2">
        <f t="shared" ca="1" si="27"/>
        <v>0.66666666666666674</v>
      </c>
      <c r="K76" s="2">
        <f t="shared" ca="1" si="27"/>
        <v>0</v>
      </c>
      <c r="L76" s="2">
        <f t="shared" ca="1" si="27"/>
        <v>8.3333333333333339</v>
      </c>
      <c r="M76" s="2">
        <f t="shared" ca="1" si="27"/>
        <v>0</v>
      </c>
      <c r="N76" s="2">
        <f t="shared" ca="1" si="27"/>
        <v>4.666666666666667</v>
      </c>
      <c r="O76" s="2">
        <f t="shared" ca="1" si="27"/>
        <v>15</v>
      </c>
      <c r="P76" s="3">
        <f t="shared" ca="1" si="27"/>
        <v>13.333333333333334</v>
      </c>
      <c r="Q76" s="2">
        <f t="shared" ca="1" si="27"/>
        <v>7</v>
      </c>
      <c r="R76" s="2">
        <f t="shared" ca="1" si="27"/>
        <v>8.6666666666666679</v>
      </c>
      <c r="S76" s="2">
        <f t="shared" ca="1" si="27"/>
        <v>1.6666666666666667</v>
      </c>
      <c r="T76" s="2">
        <f t="shared" ca="1" si="28"/>
        <v>0</v>
      </c>
      <c r="U76" s="2">
        <f t="shared" ca="1" si="28"/>
        <v>0.33333333333333337</v>
      </c>
      <c r="V76" s="2">
        <f t="shared" ca="1" si="28"/>
        <v>0</v>
      </c>
      <c r="W76" s="2">
        <f t="shared" ca="1" si="28"/>
        <v>0</v>
      </c>
      <c r="X76" s="2">
        <f t="shared" ca="1" si="28"/>
        <v>0</v>
      </c>
      <c r="Y76" s="2">
        <f t="shared" ca="1" si="28"/>
        <v>0</v>
      </c>
      <c r="Z76" s="2">
        <f t="shared" ca="1" si="28"/>
        <v>1.3333333333333335</v>
      </c>
    </row>
    <row r="77" spans="1:26">
      <c r="A77">
        <v>44</v>
      </c>
      <c r="B77">
        <v>17</v>
      </c>
      <c r="C77" t="s">
        <v>13</v>
      </c>
      <c r="D77" s="5">
        <f t="shared" ca="1" si="27"/>
        <v>1.3333333333333335</v>
      </c>
      <c r="E77" s="5">
        <f t="shared" ca="1" si="27"/>
        <v>0.66666666666666674</v>
      </c>
      <c r="F77" s="5">
        <f t="shared" ca="1" si="27"/>
        <v>0.33333333333333337</v>
      </c>
      <c r="G77" s="5">
        <f t="shared" ca="1" si="27"/>
        <v>8.6666666666666661</v>
      </c>
      <c r="H77" s="5">
        <f t="shared" ca="1" si="27"/>
        <v>5</v>
      </c>
      <c r="I77" s="5">
        <f t="shared" ca="1" si="27"/>
        <v>5</v>
      </c>
      <c r="J77" s="5">
        <f t="shared" ca="1" si="27"/>
        <v>0</v>
      </c>
      <c r="K77" s="5">
        <f t="shared" ca="1" si="27"/>
        <v>0</v>
      </c>
      <c r="L77" s="5">
        <f t="shared" ca="1" si="27"/>
        <v>0</v>
      </c>
      <c r="M77" s="5">
        <f t="shared" ca="1" si="27"/>
        <v>0.33333333333333337</v>
      </c>
      <c r="N77" s="5">
        <f t="shared" ca="1" si="27"/>
        <v>4</v>
      </c>
      <c r="O77" s="2">
        <f t="shared" ca="1" si="27"/>
        <v>2.3333333333333335</v>
      </c>
      <c r="P77" s="2">
        <f t="shared" ca="1" si="27"/>
        <v>7</v>
      </c>
      <c r="Q77" s="3">
        <f t="shared" ca="1" si="27"/>
        <v>22.666666666666664</v>
      </c>
      <c r="R77" s="2">
        <f t="shared" ca="1" si="27"/>
        <v>15.666666666666668</v>
      </c>
      <c r="S77" s="2">
        <f t="shared" ca="1" si="27"/>
        <v>0.33333333333333337</v>
      </c>
      <c r="T77" s="2">
        <f t="shared" ca="1" si="28"/>
        <v>0.66666666666666674</v>
      </c>
      <c r="U77" s="2">
        <f t="shared" ca="1" si="28"/>
        <v>0.33333333333333337</v>
      </c>
      <c r="V77" s="2">
        <f t="shared" ca="1" si="28"/>
        <v>3</v>
      </c>
      <c r="W77" s="2">
        <f t="shared" ca="1" si="28"/>
        <v>0.66666666666666674</v>
      </c>
      <c r="X77" s="2">
        <f t="shared" ca="1" si="28"/>
        <v>1</v>
      </c>
      <c r="Y77" s="2">
        <f t="shared" ca="1" si="28"/>
        <v>1</v>
      </c>
      <c r="Z77" s="2">
        <f t="shared" ca="1" si="28"/>
        <v>1</v>
      </c>
    </row>
    <row r="78" spans="1:26">
      <c r="A78">
        <v>45</v>
      </c>
      <c r="B78">
        <v>18</v>
      </c>
      <c r="C78" t="s">
        <v>14</v>
      </c>
      <c r="D78" s="5">
        <f t="shared" ca="1" si="27"/>
        <v>1.3333333333333335</v>
      </c>
      <c r="E78" s="5">
        <f t="shared" ca="1" si="27"/>
        <v>1.3333333333333335</v>
      </c>
      <c r="F78" s="5">
        <f t="shared" ca="1" si="27"/>
        <v>0.66666666666666674</v>
      </c>
      <c r="G78" s="5">
        <f t="shared" ca="1" si="27"/>
        <v>6</v>
      </c>
      <c r="H78" s="5">
        <f t="shared" ca="1" si="27"/>
        <v>5.3333333333333339</v>
      </c>
      <c r="I78" s="5">
        <f t="shared" ca="1" si="27"/>
        <v>2.666666666666667</v>
      </c>
      <c r="J78" s="5">
        <f t="shared" ca="1" si="27"/>
        <v>1</v>
      </c>
      <c r="K78" s="5">
        <f t="shared" ca="1" si="27"/>
        <v>0</v>
      </c>
      <c r="L78" s="5">
        <f t="shared" ca="1" si="27"/>
        <v>3.666666666666667</v>
      </c>
      <c r="M78" s="5">
        <f t="shared" ca="1" si="27"/>
        <v>0.33333333333333337</v>
      </c>
      <c r="N78" s="5">
        <f t="shared" ca="1" si="27"/>
        <v>11.666666666666668</v>
      </c>
      <c r="O78" s="2">
        <f t="shared" ca="1" si="27"/>
        <v>2.666666666666667</v>
      </c>
      <c r="P78" s="2">
        <f t="shared" ca="1" si="27"/>
        <v>8.6666666666666679</v>
      </c>
      <c r="Q78" s="2">
        <f t="shared" ca="1" si="27"/>
        <v>15.666666666666668</v>
      </c>
      <c r="R78" s="3">
        <f t="shared" ca="1" si="27"/>
        <v>30</v>
      </c>
      <c r="S78" s="2">
        <f t="shared" ca="1" si="27"/>
        <v>0.33333333333333337</v>
      </c>
      <c r="T78" s="2">
        <f t="shared" ca="1" si="28"/>
        <v>0.66666666666666674</v>
      </c>
      <c r="U78" s="2">
        <f t="shared" ca="1" si="28"/>
        <v>0.66666666666666674</v>
      </c>
      <c r="V78" s="2">
        <f t="shared" ca="1" si="28"/>
        <v>1.6666666666666667</v>
      </c>
      <c r="W78" s="2">
        <f t="shared" ca="1" si="28"/>
        <v>1.3333333333333335</v>
      </c>
      <c r="X78" s="2">
        <f t="shared" ca="1" si="28"/>
        <v>1</v>
      </c>
      <c r="Y78" s="2">
        <f t="shared" ca="1" si="28"/>
        <v>0</v>
      </c>
      <c r="Z78" s="2">
        <f t="shared" ca="1" si="28"/>
        <v>1</v>
      </c>
    </row>
    <row r="79" spans="1:26">
      <c r="A79">
        <v>46</v>
      </c>
      <c r="B79">
        <v>19</v>
      </c>
      <c r="C79" t="s">
        <v>15</v>
      </c>
      <c r="D79" s="5">
        <f t="shared" ca="1" si="27"/>
        <v>11.333333333333332</v>
      </c>
      <c r="E79" s="5">
        <f t="shared" ca="1" si="27"/>
        <v>14.333333333333336</v>
      </c>
      <c r="F79" s="5">
        <f t="shared" ca="1" si="27"/>
        <v>11.333333333333334</v>
      </c>
      <c r="G79" s="5">
        <f t="shared" ca="1" si="27"/>
        <v>0.33333333333333337</v>
      </c>
      <c r="H79" s="5">
        <f t="shared" ca="1" si="27"/>
        <v>0</v>
      </c>
      <c r="I79" s="5">
        <f t="shared" ca="1" si="27"/>
        <v>0.66666666666666674</v>
      </c>
      <c r="J79" s="5">
        <f t="shared" ca="1" si="27"/>
        <v>0.66666666666666674</v>
      </c>
      <c r="K79" s="5">
        <f t="shared" ca="1" si="27"/>
        <v>0</v>
      </c>
      <c r="L79" s="5">
        <f t="shared" ca="1" si="27"/>
        <v>0</v>
      </c>
      <c r="M79" s="5">
        <f t="shared" ca="1" si="27"/>
        <v>0</v>
      </c>
      <c r="N79" s="5">
        <f t="shared" ca="1" si="27"/>
        <v>0</v>
      </c>
      <c r="O79" s="2">
        <f t="shared" ca="1" si="27"/>
        <v>2</v>
      </c>
      <c r="P79" s="2">
        <f t="shared" ca="1" si="27"/>
        <v>1.6666666666666667</v>
      </c>
      <c r="Q79" s="2">
        <f t="shared" ca="1" si="27"/>
        <v>0.33333333333333337</v>
      </c>
      <c r="R79" s="2">
        <f t="shared" ca="1" si="27"/>
        <v>0.33333333333333337</v>
      </c>
      <c r="S79" s="3">
        <f t="shared" ca="1" si="27"/>
        <v>12.666666666666668</v>
      </c>
      <c r="T79" s="2">
        <f t="shared" ca="1" si="28"/>
        <v>1.3333333333333335</v>
      </c>
      <c r="U79" s="2">
        <f t="shared" ca="1" si="28"/>
        <v>0</v>
      </c>
      <c r="V79" s="2">
        <f t="shared" ca="1" si="28"/>
        <v>0.66666666666666674</v>
      </c>
      <c r="W79" s="2">
        <f t="shared" ca="1" si="28"/>
        <v>0</v>
      </c>
      <c r="X79" s="2">
        <f t="shared" ca="1" si="28"/>
        <v>0.66666666666666674</v>
      </c>
      <c r="Y79" s="2">
        <f t="shared" ca="1" si="28"/>
        <v>0.33333333333333337</v>
      </c>
      <c r="Z79" s="2">
        <f t="shared" ca="1" si="28"/>
        <v>8.3333333333333339</v>
      </c>
    </row>
    <row r="80" spans="1:26">
      <c r="A80">
        <v>47</v>
      </c>
      <c r="B80">
        <v>20</v>
      </c>
      <c r="C80" t="s">
        <v>16</v>
      </c>
      <c r="D80" s="5">
        <f t="shared" ca="1" si="27"/>
        <v>0</v>
      </c>
      <c r="E80" s="5">
        <f t="shared" ca="1" si="27"/>
        <v>0.33333333333333337</v>
      </c>
      <c r="F80" s="5">
        <f t="shared" ca="1" si="27"/>
        <v>0.33333333333333337</v>
      </c>
      <c r="G80" s="5">
        <f t="shared" ca="1" si="27"/>
        <v>0</v>
      </c>
      <c r="H80" s="5">
        <f t="shared" ca="1" si="27"/>
        <v>0</v>
      </c>
      <c r="I80" s="5">
        <f t="shared" ca="1" si="27"/>
        <v>0</v>
      </c>
      <c r="J80" s="5">
        <f t="shared" ca="1" si="27"/>
        <v>0.66666666666666674</v>
      </c>
      <c r="K80" s="5">
        <f t="shared" ca="1" si="27"/>
        <v>0</v>
      </c>
      <c r="L80" s="5">
        <f t="shared" ca="1" si="27"/>
        <v>0.33333333333333337</v>
      </c>
      <c r="M80" s="5">
        <f t="shared" ca="1" si="27"/>
        <v>0</v>
      </c>
      <c r="N80" s="5">
        <f t="shared" ca="1" si="27"/>
        <v>0</v>
      </c>
      <c r="O80" s="2">
        <f t="shared" ca="1" si="27"/>
        <v>0</v>
      </c>
      <c r="P80" s="2">
        <f t="shared" ca="1" si="27"/>
        <v>0</v>
      </c>
      <c r="Q80" s="2">
        <f t="shared" ca="1" si="27"/>
        <v>0.66666666666666674</v>
      </c>
      <c r="R80" s="2">
        <f t="shared" ca="1" si="27"/>
        <v>0.66666666666666674</v>
      </c>
      <c r="S80" s="2">
        <f t="shared" ca="1" si="27"/>
        <v>1.3333333333333335</v>
      </c>
      <c r="T80" s="3">
        <f t="shared" ca="1" si="28"/>
        <v>78.666666666666657</v>
      </c>
      <c r="U80" s="2">
        <f t="shared" ca="1" si="28"/>
        <v>15.333333333333336</v>
      </c>
      <c r="V80" s="2">
        <f t="shared" ca="1" si="28"/>
        <v>0.66666666666666674</v>
      </c>
      <c r="W80" s="2">
        <f t="shared" ca="1" si="28"/>
        <v>0</v>
      </c>
      <c r="X80" s="2">
        <f t="shared" ca="1" si="28"/>
        <v>0.33333333333333337</v>
      </c>
      <c r="Y80" s="2">
        <f t="shared" ca="1" si="28"/>
        <v>1</v>
      </c>
      <c r="Z80" s="2">
        <f t="shared" ca="1" si="28"/>
        <v>0.33333333333333337</v>
      </c>
    </row>
    <row r="81" spans="1:26">
      <c r="A81">
        <v>48</v>
      </c>
      <c r="B81">
        <v>21</v>
      </c>
      <c r="C81" t="s">
        <v>17</v>
      </c>
      <c r="D81" s="5">
        <f t="shared" ca="1" si="27"/>
        <v>0</v>
      </c>
      <c r="E81" s="5">
        <f t="shared" ca="1" si="27"/>
        <v>0.33333333333333337</v>
      </c>
      <c r="F81" s="5">
        <f t="shared" ca="1" si="27"/>
        <v>0</v>
      </c>
      <c r="G81" s="5">
        <f t="shared" ca="1" si="27"/>
        <v>0</v>
      </c>
      <c r="H81" s="5">
        <f t="shared" ca="1" si="27"/>
        <v>0</v>
      </c>
      <c r="I81" s="5">
        <f t="shared" ca="1" si="27"/>
        <v>0</v>
      </c>
      <c r="J81" s="5">
        <f t="shared" ca="1" si="27"/>
        <v>0</v>
      </c>
      <c r="K81" s="5">
        <f t="shared" ca="1" si="27"/>
        <v>0</v>
      </c>
      <c r="L81" s="5">
        <f t="shared" ca="1" si="27"/>
        <v>1</v>
      </c>
      <c r="M81" s="5">
        <f t="shared" ca="1" si="27"/>
        <v>0</v>
      </c>
      <c r="N81" s="5">
        <f t="shared" ca="1" si="27"/>
        <v>0</v>
      </c>
      <c r="O81" s="2">
        <f t="shared" ca="1" si="27"/>
        <v>0.33333333333333337</v>
      </c>
      <c r="P81" s="2">
        <f t="shared" ca="1" si="27"/>
        <v>0.33333333333333337</v>
      </c>
      <c r="Q81" s="2">
        <f t="shared" ca="1" si="27"/>
        <v>0.33333333333333337</v>
      </c>
      <c r="R81" s="2">
        <f t="shared" ca="1" si="27"/>
        <v>0.66666666666666674</v>
      </c>
      <c r="S81" s="2">
        <f t="shared" ca="1" si="27"/>
        <v>0</v>
      </c>
      <c r="T81" s="2">
        <f t="shared" ca="1" si="28"/>
        <v>15.333333333333336</v>
      </c>
      <c r="U81" s="3">
        <f t="shared" ca="1" si="28"/>
        <v>84</v>
      </c>
      <c r="V81" s="2">
        <f t="shared" ca="1" si="28"/>
        <v>1</v>
      </c>
      <c r="W81" s="2">
        <f t="shared" ca="1" si="28"/>
        <v>0.33333333333333337</v>
      </c>
      <c r="X81" s="2">
        <f t="shared" ca="1" si="28"/>
        <v>0</v>
      </c>
      <c r="Y81" s="2">
        <f t="shared" ca="1" si="28"/>
        <v>0.66666666666666674</v>
      </c>
      <c r="Z81" s="2">
        <f t="shared" ca="1" si="28"/>
        <v>1</v>
      </c>
    </row>
    <row r="82" spans="1:26">
      <c r="A82">
        <v>49</v>
      </c>
      <c r="B82">
        <v>22</v>
      </c>
      <c r="C82" t="s">
        <v>18</v>
      </c>
      <c r="D82" s="5">
        <f t="shared" ca="1" si="27"/>
        <v>1.3333333333333335</v>
      </c>
      <c r="E82" s="5">
        <f t="shared" ca="1" si="27"/>
        <v>0</v>
      </c>
      <c r="F82" s="5">
        <f t="shared" ca="1" si="27"/>
        <v>0.33333333333333337</v>
      </c>
      <c r="G82" s="5">
        <f t="shared" ca="1" si="27"/>
        <v>4.6666666666666661</v>
      </c>
      <c r="H82" s="5">
        <f t="shared" ca="1" si="27"/>
        <v>0.33333333333333337</v>
      </c>
      <c r="I82" s="5">
        <f t="shared" ca="1" si="27"/>
        <v>1.3333333333333335</v>
      </c>
      <c r="J82" s="5">
        <f t="shared" ca="1" si="27"/>
        <v>0.33333333333333337</v>
      </c>
      <c r="K82" s="5">
        <f t="shared" ca="1" si="27"/>
        <v>0.33333333333333337</v>
      </c>
      <c r="L82" s="5">
        <f t="shared" ca="1" si="27"/>
        <v>0</v>
      </c>
      <c r="M82" s="5">
        <f t="shared" ca="1" si="27"/>
        <v>0</v>
      </c>
      <c r="N82" s="5">
        <f t="shared" ca="1" si="27"/>
        <v>0.33333333333333337</v>
      </c>
      <c r="O82" s="2">
        <f t="shared" ca="1" si="27"/>
        <v>2</v>
      </c>
      <c r="P82" s="2">
        <f t="shared" ca="1" si="27"/>
        <v>0</v>
      </c>
      <c r="Q82" s="2">
        <f t="shared" ca="1" si="27"/>
        <v>3</v>
      </c>
      <c r="R82" s="2">
        <f t="shared" ca="1" si="27"/>
        <v>1.6666666666666667</v>
      </c>
      <c r="S82" s="2">
        <f t="shared" ca="1" si="27"/>
        <v>0.66666666666666674</v>
      </c>
      <c r="T82" s="2">
        <f t="shared" ca="1" si="28"/>
        <v>0.66666666666666674</v>
      </c>
      <c r="U82" s="2">
        <f t="shared" ca="1" si="28"/>
        <v>1</v>
      </c>
      <c r="V82" s="3">
        <f t="shared" ca="1" si="28"/>
        <v>71.333333333333343</v>
      </c>
      <c r="W82" s="2">
        <f t="shared" ca="1" si="28"/>
        <v>11</v>
      </c>
      <c r="X82" s="2">
        <f t="shared" ca="1" si="28"/>
        <v>5</v>
      </c>
      <c r="Y82" s="2">
        <f t="shared" ca="1" si="28"/>
        <v>1.6666666666666667</v>
      </c>
      <c r="Z82" s="2">
        <f t="shared" ca="1" si="28"/>
        <v>2</v>
      </c>
    </row>
    <row r="83" spans="1:26">
      <c r="A83">
        <v>50</v>
      </c>
      <c r="B83">
        <v>23</v>
      </c>
      <c r="C83" t="s">
        <v>19</v>
      </c>
      <c r="D83" s="5">
        <f t="shared" ca="1" si="27"/>
        <v>0</v>
      </c>
      <c r="E83" s="5">
        <f t="shared" ca="1" si="27"/>
        <v>1.3333333333333335</v>
      </c>
      <c r="F83" s="5">
        <f t="shared" ca="1" si="27"/>
        <v>0.66666666666666674</v>
      </c>
      <c r="G83" s="5">
        <f t="shared" ca="1" si="27"/>
        <v>1</v>
      </c>
      <c r="H83" s="5">
        <f t="shared" ca="1" si="27"/>
        <v>0.33333333333333337</v>
      </c>
      <c r="I83" s="5">
        <f t="shared" ca="1" si="27"/>
        <v>3</v>
      </c>
      <c r="J83" s="5">
        <f t="shared" ca="1" si="27"/>
        <v>0</v>
      </c>
      <c r="K83" s="5">
        <f t="shared" ca="1" si="27"/>
        <v>0.33333333333333337</v>
      </c>
      <c r="L83" s="5">
        <f t="shared" ca="1" si="27"/>
        <v>0</v>
      </c>
      <c r="M83" s="5">
        <f t="shared" ca="1" si="27"/>
        <v>0</v>
      </c>
      <c r="N83" s="5">
        <f t="shared" ca="1" si="27"/>
        <v>1.3333333333333335</v>
      </c>
      <c r="O83" s="2">
        <f t="shared" ca="1" si="27"/>
        <v>0.33333333333333337</v>
      </c>
      <c r="P83" s="2">
        <f t="shared" ca="1" si="27"/>
        <v>0</v>
      </c>
      <c r="Q83" s="2">
        <f t="shared" ca="1" si="27"/>
        <v>0.66666666666666674</v>
      </c>
      <c r="R83" s="2">
        <f t="shared" ca="1" si="27"/>
        <v>1.3333333333333335</v>
      </c>
      <c r="S83" s="2">
        <f t="shared" ca="1" si="27"/>
        <v>0</v>
      </c>
      <c r="T83" s="2">
        <f t="shared" ca="1" si="28"/>
        <v>0</v>
      </c>
      <c r="U83" s="2">
        <f t="shared" ca="1" si="28"/>
        <v>0.33333333333333337</v>
      </c>
      <c r="V83" s="2">
        <f t="shared" ca="1" si="28"/>
        <v>11</v>
      </c>
      <c r="W83" s="3">
        <f t="shared" ca="1" si="28"/>
        <v>45.333333333333329</v>
      </c>
      <c r="X83" s="2">
        <f t="shared" ca="1" si="28"/>
        <v>12</v>
      </c>
      <c r="Y83" s="2">
        <f t="shared" ca="1" si="28"/>
        <v>8.6666666666666679</v>
      </c>
      <c r="Z83" s="2">
        <f t="shared" ca="1" si="28"/>
        <v>1.6666666666666667</v>
      </c>
    </row>
    <row r="84" spans="1:26">
      <c r="A84">
        <v>51</v>
      </c>
      <c r="B84">
        <v>24</v>
      </c>
      <c r="C84" t="s">
        <v>20</v>
      </c>
      <c r="D84" s="5">
        <f t="shared" ca="1" si="27"/>
        <v>0</v>
      </c>
      <c r="E84" s="5">
        <f t="shared" ca="1" si="27"/>
        <v>1.3333333333333335</v>
      </c>
      <c r="F84" s="5">
        <f t="shared" ca="1" si="27"/>
        <v>0.33333333333333337</v>
      </c>
      <c r="G84" s="5">
        <f t="shared" ca="1" si="27"/>
        <v>1</v>
      </c>
      <c r="H84" s="5">
        <f t="shared" ca="1" si="27"/>
        <v>0.33333333333333337</v>
      </c>
      <c r="I84" s="5">
        <f t="shared" ca="1" si="27"/>
        <v>2.3333333333333335</v>
      </c>
      <c r="J84" s="5">
        <f t="shared" ca="1" si="27"/>
        <v>0.33333333333333337</v>
      </c>
      <c r="K84" s="5">
        <f t="shared" ca="1" si="27"/>
        <v>0.33333333333333337</v>
      </c>
      <c r="L84" s="5">
        <f t="shared" ca="1" si="27"/>
        <v>0.33333333333333337</v>
      </c>
      <c r="M84" s="5">
        <f t="shared" ca="1" si="27"/>
        <v>0</v>
      </c>
      <c r="N84" s="5">
        <f t="shared" ca="1" si="27"/>
        <v>0.66666666666666674</v>
      </c>
      <c r="O84" s="2">
        <f t="shared" ca="1" si="27"/>
        <v>0.33333333333333337</v>
      </c>
      <c r="P84" s="2">
        <f t="shared" ca="1" si="27"/>
        <v>0</v>
      </c>
      <c r="Q84" s="2">
        <f t="shared" ca="1" si="27"/>
        <v>1</v>
      </c>
      <c r="R84" s="2">
        <f t="shared" ca="1" si="27"/>
        <v>1</v>
      </c>
      <c r="S84" s="2">
        <f t="shared" ca="1" si="27"/>
        <v>0.66666666666666674</v>
      </c>
      <c r="T84" s="2">
        <f t="shared" ca="1" si="28"/>
        <v>0.33333333333333337</v>
      </c>
      <c r="U84" s="2">
        <f t="shared" ca="1" si="28"/>
        <v>0</v>
      </c>
      <c r="V84" s="2">
        <f t="shared" ca="1" si="28"/>
        <v>5</v>
      </c>
      <c r="W84" s="2">
        <f t="shared" ca="1" si="28"/>
        <v>12</v>
      </c>
      <c r="X84" s="3">
        <f t="shared" ca="1" si="28"/>
        <v>50</v>
      </c>
      <c r="Y84" s="2">
        <f t="shared" ca="1" si="28"/>
        <v>7.333333333333333</v>
      </c>
      <c r="Z84" s="2">
        <f t="shared" ca="1" si="28"/>
        <v>0.66666666666666674</v>
      </c>
    </row>
    <row r="85" spans="1:26">
      <c r="A85">
        <v>52</v>
      </c>
      <c r="B85">
        <v>25</v>
      </c>
      <c r="C85" t="s">
        <v>21</v>
      </c>
      <c r="D85" s="5">
        <f t="shared" ca="1" si="27"/>
        <v>0</v>
      </c>
      <c r="E85" s="5">
        <f t="shared" ca="1" si="27"/>
        <v>0</v>
      </c>
      <c r="F85" s="5">
        <f t="shared" ca="1" si="27"/>
        <v>0</v>
      </c>
      <c r="G85" s="5">
        <f t="shared" ca="1" si="27"/>
        <v>1</v>
      </c>
      <c r="H85" s="5">
        <f t="shared" ca="1" si="27"/>
        <v>0.33333333333333337</v>
      </c>
      <c r="I85" s="5">
        <f t="shared" ca="1" si="27"/>
        <v>7.333333333333333</v>
      </c>
      <c r="J85" s="5">
        <f t="shared" ca="1" si="27"/>
        <v>0</v>
      </c>
      <c r="K85" s="5">
        <f t="shared" ca="1" si="27"/>
        <v>0</v>
      </c>
      <c r="L85" s="5">
        <f t="shared" ca="1" si="27"/>
        <v>0.66666666666666674</v>
      </c>
      <c r="M85" s="5">
        <f t="shared" ca="1" si="27"/>
        <v>0</v>
      </c>
      <c r="N85" s="5">
        <f t="shared" ca="1" si="27"/>
        <v>1</v>
      </c>
      <c r="O85" s="2">
        <f t="shared" ca="1" si="27"/>
        <v>0</v>
      </c>
      <c r="P85" s="2">
        <f t="shared" ca="1" si="27"/>
        <v>0</v>
      </c>
      <c r="Q85" s="2">
        <f t="shared" ca="1" si="27"/>
        <v>1</v>
      </c>
      <c r="R85" s="2">
        <f t="shared" ca="1" si="27"/>
        <v>0</v>
      </c>
      <c r="S85" s="2">
        <f t="shared" ca="1" si="27"/>
        <v>0.33333333333333337</v>
      </c>
      <c r="T85" s="2">
        <f t="shared" ca="1" si="28"/>
        <v>1</v>
      </c>
      <c r="U85" s="2">
        <f t="shared" ca="1" si="28"/>
        <v>0.66666666666666674</v>
      </c>
      <c r="V85" s="2">
        <f t="shared" ca="1" si="28"/>
        <v>1.6666666666666667</v>
      </c>
      <c r="W85" s="2">
        <f t="shared" ca="1" si="28"/>
        <v>8.6666666666666679</v>
      </c>
      <c r="X85" s="2">
        <f t="shared" ca="1" si="28"/>
        <v>7.333333333333333</v>
      </c>
      <c r="Y85" s="3">
        <f t="shared" ca="1" si="28"/>
        <v>72</v>
      </c>
      <c r="Z85" s="2">
        <f t="shared" ca="1" si="28"/>
        <v>4</v>
      </c>
    </row>
    <row r="86" spans="1:26">
      <c r="A86">
        <v>53</v>
      </c>
      <c r="B86">
        <v>26</v>
      </c>
      <c r="C86" t="s">
        <v>22</v>
      </c>
      <c r="D86" s="5">
        <f t="shared" ca="1" si="27"/>
        <v>3</v>
      </c>
      <c r="E86" s="5">
        <f t="shared" ca="1" si="27"/>
        <v>3</v>
      </c>
      <c r="F86" s="5">
        <f t="shared" ca="1" si="27"/>
        <v>4.3333333333333339</v>
      </c>
      <c r="G86" s="5">
        <f t="shared" ca="1" si="27"/>
        <v>2.3333333333333335</v>
      </c>
      <c r="H86" s="5">
        <f t="shared" ca="1" si="27"/>
        <v>0.66666666666666674</v>
      </c>
      <c r="I86" s="5">
        <f t="shared" ca="1" si="27"/>
        <v>1.666666666666667</v>
      </c>
      <c r="J86" s="5">
        <f t="shared" ca="1" si="27"/>
        <v>0.33333333333333337</v>
      </c>
      <c r="K86" s="5">
        <f t="shared" ca="1" si="27"/>
        <v>0.66666666666666674</v>
      </c>
      <c r="L86" s="5">
        <f t="shared" ca="1" si="27"/>
        <v>0</v>
      </c>
      <c r="M86" s="5">
        <f t="shared" ca="1" si="27"/>
        <v>0.33333333333333337</v>
      </c>
      <c r="N86" s="5">
        <f t="shared" ca="1" si="27"/>
        <v>0</v>
      </c>
      <c r="O86" s="2">
        <f t="shared" ca="1" si="27"/>
        <v>1.666666666666667</v>
      </c>
      <c r="P86" s="2">
        <f t="shared" ca="1" si="27"/>
        <v>1.3333333333333335</v>
      </c>
      <c r="Q86" s="2">
        <f t="shared" ca="1" si="27"/>
        <v>1</v>
      </c>
      <c r="R86" s="2">
        <f t="shared" ca="1" si="27"/>
        <v>1</v>
      </c>
      <c r="S86" s="2">
        <f t="shared" ca="1" si="27"/>
        <v>8.3333333333333339</v>
      </c>
      <c r="T86" s="2">
        <f t="shared" ca="1" si="28"/>
        <v>0.33333333333333337</v>
      </c>
      <c r="U86" s="2">
        <f t="shared" ca="1" si="28"/>
        <v>1</v>
      </c>
      <c r="V86" s="2">
        <f t="shared" ca="1" si="28"/>
        <v>2</v>
      </c>
      <c r="W86" s="2">
        <f t="shared" ca="1" si="28"/>
        <v>1.6666666666666667</v>
      </c>
      <c r="X86" s="2">
        <f t="shared" ca="1" si="28"/>
        <v>0.66666666666666674</v>
      </c>
      <c r="Y86" s="2">
        <f t="shared" ca="1" si="28"/>
        <v>4</v>
      </c>
      <c r="Z86" s="3">
        <f t="shared" ca="1" si="28"/>
        <v>62.666666666666671</v>
      </c>
    </row>
    <row r="91" spans="1:26">
      <c r="A91" s="9" t="s">
        <v>26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8"/>
    </row>
    <row r="93" spans="1:26">
      <c r="D93">
        <v>4</v>
      </c>
      <c r="E93">
        <v>5</v>
      </c>
      <c r="F93">
        <v>6</v>
      </c>
      <c r="G93">
        <v>7</v>
      </c>
      <c r="H93">
        <v>8</v>
      </c>
      <c r="I93">
        <v>9</v>
      </c>
      <c r="J93">
        <v>10</v>
      </c>
      <c r="K93">
        <v>11</v>
      </c>
      <c r="L93">
        <v>12</v>
      </c>
      <c r="M93">
        <v>13</v>
      </c>
      <c r="N93">
        <v>14</v>
      </c>
      <c r="O93">
        <v>15</v>
      </c>
      <c r="P93">
        <v>16</v>
      </c>
      <c r="Q93">
        <v>17</v>
      </c>
      <c r="R93">
        <v>18</v>
      </c>
      <c r="S93">
        <v>19</v>
      </c>
      <c r="T93">
        <v>20</v>
      </c>
      <c r="U93">
        <v>21</v>
      </c>
      <c r="V93">
        <v>22</v>
      </c>
      <c r="W93">
        <v>23</v>
      </c>
      <c r="X93">
        <v>24</v>
      </c>
      <c r="Y93">
        <v>25</v>
      </c>
      <c r="Z93">
        <v>26</v>
      </c>
    </row>
    <row r="94" spans="1:26">
      <c r="D94">
        <v>31</v>
      </c>
      <c r="E94">
        <v>32</v>
      </c>
      <c r="F94">
        <v>33</v>
      </c>
      <c r="G94">
        <v>34</v>
      </c>
      <c r="H94">
        <v>35</v>
      </c>
      <c r="I94">
        <v>36</v>
      </c>
      <c r="J94">
        <v>37</v>
      </c>
      <c r="K94">
        <v>38</v>
      </c>
      <c r="L94">
        <v>39</v>
      </c>
      <c r="M94">
        <v>40</v>
      </c>
      <c r="N94">
        <v>41</v>
      </c>
      <c r="O94">
        <v>42</v>
      </c>
      <c r="P94">
        <v>43</v>
      </c>
      <c r="Q94">
        <v>44</v>
      </c>
      <c r="R94">
        <v>45</v>
      </c>
      <c r="S94">
        <v>46</v>
      </c>
      <c r="T94">
        <v>47</v>
      </c>
      <c r="U94">
        <v>48</v>
      </c>
      <c r="V94">
        <v>49</v>
      </c>
      <c r="W94">
        <v>50</v>
      </c>
      <c r="X94">
        <v>51</v>
      </c>
      <c r="Y94">
        <v>52</v>
      </c>
      <c r="Z94">
        <v>53</v>
      </c>
    </row>
    <row r="96" spans="1:26">
      <c r="C96" s="1" t="s">
        <v>23</v>
      </c>
      <c r="D96" t="s">
        <v>0</v>
      </c>
      <c r="E96" t="s">
        <v>1</v>
      </c>
      <c r="F96" t="s">
        <v>2</v>
      </c>
      <c r="G96" t="s">
        <v>3</v>
      </c>
      <c r="H96" t="s">
        <v>4</v>
      </c>
      <c r="I96" t="s">
        <v>5</v>
      </c>
      <c r="J96" t="s">
        <v>6</v>
      </c>
      <c r="K96" t="s">
        <v>7</v>
      </c>
      <c r="L96" t="s">
        <v>8</v>
      </c>
      <c r="M96" t="s">
        <v>9</v>
      </c>
      <c r="N96" t="s">
        <v>10</v>
      </c>
      <c r="O96" t="s">
        <v>11</v>
      </c>
      <c r="P96" t="s">
        <v>12</v>
      </c>
      <c r="Q96" t="s">
        <v>13</v>
      </c>
      <c r="R96" t="s">
        <v>14</v>
      </c>
      <c r="S96" t="s">
        <v>15</v>
      </c>
      <c r="T96" t="s">
        <v>16</v>
      </c>
      <c r="U96" t="s">
        <v>17</v>
      </c>
      <c r="V96" t="s">
        <v>18</v>
      </c>
      <c r="W96" t="s">
        <v>19</v>
      </c>
      <c r="X96" t="s">
        <v>20</v>
      </c>
      <c r="Y96" t="s">
        <v>21</v>
      </c>
      <c r="Z96" t="s">
        <v>22</v>
      </c>
    </row>
    <row r="97" spans="1:30">
      <c r="A97">
        <v>31</v>
      </c>
      <c r="B97">
        <v>4</v>
      </c>
      <c r="C97" t="s">
        <v>0</v>
      </c>
      <c r="D97" s="3">
        <f t="shared" ref="D97:M106" ca="1" si="29">MAX(INDIRECT((ADDRESS($A97,D$60))),INDIRECT((ADDRESS(D$61,$B97))))</f>
        <v>26.666666666666668</v>
      </c>
      <c r="E97" s="2">
        <f t="shared" ca="1" si="29"/>
        <v>36.666666666666664</v>
      </c>
      <c r="F97" s="2">
        <f t="shared" ca="1" si="29"/>
        <v>20</v>
      </c>
      <c r="G97" s="2">
        <f t="shared" ca="1" si="29"/>
        <v>6</v>
      </c>
      <c r="H97" s="2">
        <f t="shared" ca="1" si="29"/>
        <v>0.66666666666666674</v>
      </c>
      <c r="I97" s="2">
        <f t="shared" ca="1" si="29"/>
        <v>0.66666666666666674</v>
      </c>
      <c r="J97" s="2">
        <f t="shared" ca="1" si="29"/>
        <v>0.66666666666666674</v>
      </c>
      <c r="K97" s="2">
        <f t="shared" ca="1" si="29"/>
        <v>0</v>
      </c>
      <c r="L97" s="2">
        <f t="shared" ca="1" si="29"/>
        <v>2</v>
      </c>
      <c r="M97" s="2">
        <f t="shared" ca="1" si="29"/>
        <v>0.66666666666666674</v>
      </c>
      <c r="N97" s="2">
        <f t="shared" ref="N97:Z106" ca="1" si="30">MAX(INDIRECT((ADDRESS($A97,N$60))),INDIRECT((ADDRESS(N$61,$B97))))</f>
        <v>0</v>
      </c>
      <c r="O97" s="2">
        <f t="shared" ca="1" si="30"/>
        <v>9.3333333333333339</v>
      </c>
      <c r="P97" s="2">
        <f t="shared" ca="1" si="30"/>
        <v>7.333333333333333</v>
      </c>
      <c r="Q97" s="5">
        <f t="shared" ca="1" si="30"/>
        <v>2</v>
      </c>
      <c r="R97" s="5">
        <f t="shared" ca="1" si="30"/>
        <v>2.666666666666667</v>
      </c>
      <c r="S97" s="5">
        <f t="shared" ca="1" si="30"/>
        <v>19.333333333333332</v>
      </c>
      <c r="T97" s="5">
        <f t="shared" ca="1" si="30"/>
        <v>0</v>
      </c>
      <c r="U97" s="5">
        <f t="shared" ca="1" si="30"/>
        <v>0</v>
      </c>
      <c r="V97" s="5">
        <f t="shared" ca="1" si="30"/>
        <v>2</v>
      </c>
      <c r="W97" s="5">
        <f t="shared" ca="1" si="30"/>
        <v>0</v>
      </c>
      <c r="X97" s="5">
        <f t="shared" ca="1" si="30"/>
        <v>0</v>
      </c>
      <c r="Y97" s="5">
        <f t="shared" ca="1" si="30"/>
        <v>0</v>
      </c>
      <c r="Z97" s="5">
        <f t="shared" ca="1" si="30"/>
        <v>4</v>
      </c>
      <c r="AC97" s="2"/>
      <c r="AD97" s="2"/>
    </row>
    <row r="98" spans="1:30">
      <c r="A98">
        <v>32</v>
      </c>
      <c r="B98">
        <v>5</v>
      </c>
      <c r="C98" t="s">
        <v>1</v>
      </c>
      <c r="D98" s="2">
        <f t="shared" ca="1" si="29"/>
        <v>36.666666666666664</v>
      </c>
      <c r="E98" s="3">
        <f t="shared" ca="1" si="29"/>
        <v>68.666666666666671</v>
      </c>
      <c r="F98" s="2">
        <f t="shared" ca="1" si="29"/>
        <v>16</v>
      </c>
      <c r="G98" s="2">
        <f t="shared" ca="1" si="29"/>
        <v>4</v>
      </c>
      <c r="H98" s="2">
        <f t="shared" ca="1" si="29"/>
        <v>4</v>
      </c>
      <c r="I98" s="2">
        <f t="shared" ca="1" si="29"/>
        <v>0</v>
      </c>
      <c r="J98" s="2">
        <f t="shared" ca="1" si="29"/>
        <v>4.666666666666667</v>
      </c>
      <c r="K98" s="2">
        <f t="shared" ca="1" si="29"/>
        <v>0.66666666666666674</v>
      </c>
      <c r="L98" s="2">
        <f t="shared" ca="1" si="29"/>
        <v>12</v>
      </c>
      <c r="M98" s="2">
        <f t="shared" ca="1" si="29"/>
        <v>0</v>
      </c>
      <c r="N98" s="2">
        <f t="shared" ca="1" si="30"/>
        <v>0.66666666666666674</v>
      </c>
      <c r="O98" s="2">
        <f t="shared" ca="1" si="30"/>
        <v>10.666666666666668</v>
      </c>
      <c r="P98" s="2">
        <f t="shared" ca="1" si="30"/>
        <v>12</v>
      </c>
      <c r="Q98" s="5">
        <f t="shared" ca="1" si="30"/>
        <v>1.3333333333333335</v>
      </c>
      <c r="R98" s="5">
        <f t="shared" ca="1" si="30"/>
        <v>1.3333333333333335</v>
      </c>
      <c r="S98" s="5">
        <f t="shared" ca="1" si="30"/>
        <v>28.000000000000004</v>
      </c>
      <c r="T98" s="5">
        <f t="shared" ca="1" si="30"/>
        <v>0.66666666666666674</v>
      </c>
      <c r="U98" s="5">
        <f t="shared" ca="1" si="30"/>
        <v>0.66666666666666674</v>
      </c>
      <c r="V98" s="5">
        <f t="shared" ca="1" si="30"/>
        <v>0</v>
      </c>
      <c r="W98" s="5">
        <f t="shared" ca="1" si="30"/>
        <v>2</v>
      </c>
      <c r="X98" s="5">
        <f t="shared" ca="1" si="30"/>
        <v>2.666666666666667</v>
      </c>
      <c r="Y98" s="5">
        <f t="shared" ca="1" si="30"/>
        <v>0</v>
      </c>
      <c r="Z98" s="5">
        <f t="shared" ca="1" si="30"/>
        <v>3.3333333333333335</v>
      </c>
      <c r="AC98" s="2"/>
      <c r="AD98" s="2"/>
    </row>
    <row r="99" spans="1:30">
      <c r="A99">
        <v>33</v>
      </c>
      <c r="B99">
        <v>6</v>
      </c>
      <c r="C99" t="s">
        <v>2</v>
      </c>
      <c r="D99" s="2">
        <f t="shared" ca="1" si="29"/>
        <v>20</v>
      </c>
      <c r="E99" s="2">
        <f t="shared" ca="1" si="29"/>
        <v>16</v>
      </c>
      <c r="F99" s="3">
        <f t="shared" ca="1" si="29"/>
        <v>68</v>
      </c>
      <c r="G99" s="2">
        <f t="shared" ca="1" si="29"/>
        <v>4.666666666666667</v>
      </c>
      <c r="H99" s="2">
        <f t="shared" ca="1" si="29"/>
        <v>0.66666666666666674</v>
      </c>
      <c r="I99" s="2">
        <f t="shared" ca="1" si="29"/>
        <v>0.66666666666666674</v>
      </c>
      <c r="J99" s="2">
        <f t="shared" ca="1" si="29"/>
        <v>2.666666666666667</v>
      </c>
      <c r="K99" s="2">
        <f t="shared" ca="1" si="29"/>
        <v>0.66666666666666674</v>
      </c>
      <c r="L99" s="2">
        <f t="shared" ca="1" si="29"/>
        <v>0.66666666666666674</v>
      </c>
      <c r="M99" s="2">
        <f t="shared" ca="1" si="29"/>
        <v>0</v>
      </c>
      <c r="N99" s="2">
        <f t="shared" ca="1" si="30"/>
        <v>0.66666666666666674</v>
      </c>
      <c r="O99" s="2">
        <f t="shared" ca="1" si="30"/>
        <v>6</v>
      </c>
      <c r="P99" s="2">
        <f t="shared" ca="1" si="30"/>
        <v>4.666666666666667</v>
      </c>
      <c r="Q99" s="5">
        <f t="shared" ca="1" si="30"/>
        <v>0.66666666666666674</v>
      </c>
      <c r="R99" s="5">
        <f t="shared" ca="1" si="30"/>
        <v>1.3333333333333335</v>
      </c>
      <c r="S99" s="5">
        <f t="shared" ca="1" si="30"/>
        <v>22</v>
      </c>
      <c r="T99" s="5">
        <f t="shared" ca="1" si="30"/>
        <v>0.66666666666666674</v>
      </c>
      <c r="U99" s="5">
        <f t="shared" ca="1" si="30"/>
        <v>0</v>
      </c>
      <c r="V99" s="5">
        <f t="shared" ca="1" si="30"/>
        <v>0.66666666666666674</v>
      </c>
      <c r="W99" s="5">
        <f t="shared" ca="1" si="30"/>
        <v>0.66666666666666674</v>
      </c>
      <c r="X99" s="5">
        <f t="shared" ca="1" si="30"/>
        <v>0.66666666666666674</v>
      </c>
      <c r="Y99" s="5">
        <f t="shared" ca="1" si="30"/>
        <v>0</v>
      </c>
      <c r="Z99" s="5">
        <f t="shared" ca="1" si="30"/>
        <v>6.666666666666667</v>
      </c>
      <c r="AC99" s="2"/>
      <c r="AD99" s="2"/>
    </row>
    <row r="100" spans="1:30">
      <c r="A100">
        <v>34</v>
      </c>
      <c r="B100">
        <v>7</v>
      </c>
      <c r="C100" t="s">
        <v>3</v>
      </c>
      <c r="D100" s="2">
        <f t="shared" ca="1" si="29"/>
        <v>6</v>
      </c>
      <c r="E100" s="2">
        <f t="shared" ca="1" si="29"/>
        <v>4</v>
      </c>
      <c r="F100" s="2">
        <f t="shared" ca="1" si="29"/>
        <v>4.666666666666667</v>
      </c>
      <c r="G100" s="3">
        <f t="shared" ca="1" si="29"/>
        <v>26</v>
      </c>
      <c r="H100" s="2">
        <f t="shared" ca="1" si="29"/>
        <v>20</v>
      </c>
      <c r="I100" s="2">
        <f t="shared" ca="1" si="29"/>
        <v>6.666666666666667</v>
      </c>
      <c r="J100" s="2">
        <f t="shared" ca="1" si="29"/>
        <v>0.66666666666666674</v>
      </c>
      <c r="K100" s="2">
        <f t="shared" ca="1" si="29"/>
        <v>0.66666666666666674</v>
      </c>
      <c r="L100" s="2">
        <f t="shared" ca="1" si="29"/>
        <v>2</v>
      </c>
      <c r="M100" s="2">
        <f t="shared" ca="1" si="29"/>
        <v>0</v>
      </c>
      <c r="N100" s="2">
        <f t="shared" ca="1" si="30"/>
        <v>1.3333333333333335</v>
      </c>
      <c r="O100" s="2">
        <f t="shared" ca="1" si="30"/>
        <v>8</v>
      </c>
      <c r="P100" s="2">
        <f t="shared" ca="1" si="30"/>
        <v>7.333333333333333</v>
      </c>
      <c r="Q100" s="5">
        <f t="shared" ca="1" si="30"/>
        <v>11.333333333333332</v>
      </c>
      <c r="R100" s="5">
        <f t="shared" ca="1" si="30"/>
        <v>8</v>
      </c>
      <c r="S100" s="5">
        <f t="shared" ca="1" si="30"/>
        <v>0.66666666666666674</v>
      </c>
      <c r="T100" s="5">
        <f t="shared" ca="1" si="30"/>
        <v>0</v>
      </c>
      <c r="U100" s="5">
        <f t="shared" ca="1" si="30"/>
        <v>0</v>
      </c>
      <c r="V100" s="5">
        <f t="shared" ca="1" si="30"/>
        <v>7.333333333333333</v>
      </c>
      <c r="W100" s="5">
        <f t="shared" ca="1" si="30"/>
        <v>1.3333333333333335</v>
      </c>
      <c r="X100" s="5">
        <f t="shared" ca="1" si="30"/>
        <v>1.3333333333333335</v>
      </c>
      <c r="Y100" s="5">
        <f t="shared" ca="1" si="30"/>
        <v>1.3333333333333335</v>
      </c>
      <c r="Z100" s="5">
        <f t="shared" ca="1" si="30"/>
        <v>2.666666666666667</v>
      </c>
      <c r="AC100" s="2"/>
      <c r="AD100" s="2"/>
    </row>
    <row r="101" spans="1:30">
      <c r="A101">
        <v>35</v>
      </c>
      <c r="B101">
        <v>8</v>
      </c>
      <c r="C101" t="s">
        <v>4</v>
      </c>
      <c r="D101" s="2">
        <f t="shared" ca="1" si="29"/>
        <v>0.66666666666666674</v>
      </c>
      <c r="E101" s="2">
        <f t="shared" ca="1" si="29"/>
        <v>4</v>
      </c>
      <c r="F101" s="2">
        <f t="shared" ca="1" si="29"/>
        <v>0.66666666666666674</v>
      </c>
      <c r="G101" s="2">
        <f t="shared" ca="1" si="29"/>
        <v>20</v>
      </c>
      <c r="H101" s="3">
        <f t="shared" ca="1" si="29"/>
        <v>76</v>
      </c>
      <c r="I101" s="2">
        <f t="shared" ca="1" si="29"/>
        <v>14.000000000000002</v>
      </c>
      <c r="J101" s="2">
        <f t="shared" ca="1" si="29"/>
        <v>1.3333333333333335</v>
      </c>
      <c r="K101" s="2">
        <f t="shared" ca="1" si="29"/>
        <v>2</v>
      </c>
      <c r="L101" s="2">
        <f t="shared" ca="1" si="29"/>
        <v>4.666666666666667</v>
      </c>
      <c r="M101" s="2">
        <f t="shared" ca="1" si="29"/>
        <v>0</v>
      </c>
      <c r="N101" s="2">
        <f t="shared" ca="1" si="30"/>
        <v>16</v>
      </c>
      <c r="O101" s="2">
        <f t="shared" ca="1" si="30"/>
        <v>1.3333333333333335</v>
      </c>
      <c r="P101" s="2">
        <f t="shared" ca="1" si="30"/>
        <v>4</v>
      </c>
      <c r="Q101" s="5">
        <f t="shared" ca="1" si="30"/>
        <v>10</v>
      </c>
      <c r="R101" s="5">
        <f t="shared" ca="1" si="30"/>
        <v>8</v>
      </c>
      <c r="S101" s="5">
        <f t="shared" ca="1" si="30"/>
        <v>0</v>
      </c>
      <c r="T101" s="5">
        <f t="shared" ca="1" si="30"/>
        <v>0</v>
      </c>
      <c r="U101" s="5">
        <f t="shared" ca="1" si="30"/>
        <v>0</v>
      </c>
      <c r="V101" s="5">
        <f t="shared" ca="1" si="30"/>
        <v>0.66666666666666674</v>
      </c>
      <c r="W101" s="5">
        <f t="shared" ca="1" si="30"/>
        <v>0.66666666666666674</v>
      </c>
      <c r="X101" s="5">
        <f t="shared" ca="1" si="30"/>
        <v>0.66666666666666674</v>
      </c>
      <c r="Y101" s="5">
        <f t="shared" ca="1" si="30"/>
        <v>0.66666666666666674</v>
      </c>
      <c r="Z101" s="5">
        <f t="shared" ca="1" si="30"/>
        <v>0.66666666666666674</v>
      </c>
      <c r="AC101" s="2"/>
      <c r="AD101" s="2"/>
    </row>
    <row r="102" spans="1:30">
      <c r="A102">
        <v>36</v>
      </c>
      <c r="B102">
        <v>9</v>
      </c>
      <c r="C102" t="s">
        <v>5</v>
      </c>
      <c r="D102" s="2">
        <f t="shared" ca="1" si="29"/>
        <v>0.66666666666666674</v>
      </c>
      <c r="E102" s="2">
        <f t="shared" ca="1" si="29"/>
        <v>0</v>
      </c>
      <c r="F102" s="2">
        <f t="shared" ca="1" si="29"/>
        <v>0.66666666666666674</v>
      </c>
      <c r="G102" s="2">
        <f t="shared" ca="1" si="29"/>
        <v>6.666666666666667</v>
      </c>
      <c r="H102" s="2">
        <f t="shared" ca="1" si="29"/>
        <v>14.000000000000002</v>
      </c>
      <c r="I102" s="3">
        <f t="shared" ca="1" si="29"/>
        <v>49.333333333333336</v>
      </c>
      <c r="J102" s="2">
        <f t="shared" ca="1" si="29"/>
        <v>0</v>
      </c>
      <c r="K102" s="2">
        <f t="shared" ca="1" si="29"/>
        <v>6.666666666666667</v>
      </c>
      <c r="L102" s="2">
        <f t="shared" ca="1" si="29"/>
        <v>2</v>
      </c>
      <c r="M102" s="2">
        <f t="shared" ca="1" si="29"/>
        <v>0</v>
      </c>
      <c r="N102" s="2">
        <f t="shared" ca="1" si="30"/>
        <v>10</v>
      </c>
      <c r="O102" s="2">
        <f t="shared" ca="1" si="30"/>
        <v>0.66666666666666674</v>
      </c>
      <c r="P102" s="2">
        <f t="shared" ca="1" si="30"/>
        <v>3.3333333333333335</v>
      </c>
      <c r="Q102" s="5">
        <f t="shared" ca="1" si="30"/>
        <v>5.3333333333333339</v>
      </c>
      <c r="R102" s="5">
        <f t="shared" ca="1" si="30"/>
        <v>4.666666666666667</v>
      </c>
      <c r="S102" s="5">
        <f t="shared" ca="1" si="30"/>
        <v>1.3333333333333335</v>
      </c>
      <c r="T102" s="5">
        <f t="shared" ca="1" si="30"/>
        <v>0</v>
      </c>
      <c r="U102" s="5">
        <f t="shared" ca="1" si="30"/>
        <v>0</v>
      </c>
      <c r="V102" s="5">
        <f t="shared" ca="1" si="30"/>
        <v>2.666666666666667</v>
      </c>
      <c r="W102" s="5">
        <f t="shared" ca="1" si="30"/>
        <v>4.666666666666667</v>
      </c>
      <c r="X102" s="5">
        <f t="shared" ca="1" si="30"/>
        <v>3.3333333333333335</v>
      </c>
      <c r="Y102" s="5">
        <f t="shared" ca="1" si="30"/>
        <v>11.333333333333332</v>
      </c>
      <c r="Z102" s="5">
        <f t="shared" ca="1" si="30"/>
        <v>2.666666666666667</v>
      </c>
      <c r="AC102" s="2"/>
      <c r="AD102" s="2"/>
    </row>
    <row r="103" spans="1:30">
      <c r="A103">
        <v>37</v>
      </c>
      <c r="B103">
        <v>10</v>
      </c>
      <c r="C103" t="s">
        <v>6</v>
      </c>
      <c r="D103" s="2">
        <f t="shared" ca="1" si="29"/>
        <v>0.66666666666666674</v>
      </c>
      <c r="E103" s="2">
        <f t="shared" ca="1" si="29"/>
        <v>4.666666666666667</v>
      </c>
      <c r="F103" s="2">
        <f t="shared" ca="1" si="29"/>
        <v>2.666666666666667</v>
      </c>
      <c r="G103" s="2">
        <f t="shared" ca="1" si="29"/>
        <v>0.66666666666666674</v>
      </c>
      <c r="H103" s="2">
        <f t="shared" ca="1" si="29"/>
        <v>1.3333333333333335</v>
      </c>
      <c r="I103" s="2">
        <f t="shared" ca="1" si="29"/>
        <v>0</v>
      </c>
      <c r="J103" s="3">
        <f t="shared" ca="1" si="29"/>
        <v>92</v>
      </c>
      <c r="K103" s="2">
        <f t="shared" ca="1" si="29"/>
        <v>2.666666666666667</v>
      </c>
      <c r="L103" s="2">
        <f t="shared" ca="1" si="29"/>
        <v>6</v>
      </c>
      <c r="M103" s="2">
        <f t="shared" ca="1" si="29"/>
        <v>53.333333333333336</v>
      </c>
      <c r="N103" s="2">
        <f t="shared" ca="1" si="30"/>
        <v>0</v>
      </c>
      <c r="O103" s="2">
        <f t="shared" ca="1" si="30"/>
        <v>3.3333333333333335</v>
      </c>
      <c r="P103" s="2">
        <f t="shared" ca="1" si="30"/>
        <v>1.3333333333333335</v>
      </c>
      <c r="Q103" s="5">
        <f t="shared" ca="1" si="30"/>
        <v>0</v>
      </c>
      <c r="R103" s="5">
        <f t="shared" ca="1" si="30"/>
        <v>2</v>
      </c>
      <c r="S103" s="5">
        <f t="shared" ca="1" si="30"/>
        <v>1.3333333333333335</v>
      </c>
      <c r="T103" s="5">
        <f t="shared" ca="1" si="30"/>
        <v>0.66666666666666674</v>
      </c>
      <c r="U103" s="5">
        <f t="shared" ca="1" si="30"/>
        <v>0</v>
      </c>
      <c r="V103" s="5">
        <f t="shared" ca="1" si="30"/>
        <v>0.66666666666666674</v>
      </c>
      <c r="W103" s="5">
        <f t="shared" ca="1" si="30"/>
        <v>0</v>
      </c>
      <c r="X103" s="5">
        <f t="shared" ca="1" si="30"/>
        <v>0.66666666666666674</v>
      </c>
      <c r="Y103" s="5">
        <f t="shared" ca="1" si="30"/>
        <v>0</v>
      </c>
      <c r="Z103" s="5">
        <f t="shared" ca="1" si="30"/>
        <v>0.66666666666666674</v>
      </c>
      <c r="AC103" s="2"/>
      <c r="AD103" s="2"/>
    </row>
    <row r="104" spans="1:30">
      <c r="A104">
        <v>38</v>
      </c>
      <c r="B104">
        <v>11</v>
      </c>
      <c r="C104" t="s">
        <v>7</v>
      </c>
      <c r="D104" s="2">
        <f t="shared" ca="1" si="29"/>
        <v>0</v>
      </c>
      <c r="E104" s="2">
        <f t="shared" ca="1" si="29"/>
        <v>0.66666666666666674</v>
      </c>
      <c r="F104" s="2">
        <f t="shared" ca="1" si="29"/>
        <v>0.66666666666666674</v>
      </c>
      <c r="G104" s="2">
        <f t="shared" ca="1" si="29"/>
        <v>0.66666666666666674</v>
      </c>
      <c r="H104" s="2">
        <f t="shared" ca="1" si="29"/>
        <v>2</v>
      </c>
      <c r="I104" s="2">
        <f t="shared" ca="1" si="29"/>
        <v>6.666666666666667</v>
      </c>
      <c r="J104" s="2">
        <f t="shared" ca="1" si="29"/>
        <v>2.666666666666667</v>
      </c>
      <c r="K104" s="3">
        <f t="shared" ca="1" si="29"/>
        <v>86.666666666666671</v>
      </c>
      <c r="L104" s="2">
        <f t="shared" ca="1" si="29"/>
        <v>2</v>
      </c>
      <c r="M104" s="2">
        <f t="shared" ca="1" si="29"/>
        <v>2</v>
      </c>
      <c r="N104" s="2">
        <f t="shared" ca="1" si="30"/>
        <v>2.666666666666667</v>
      </c>
      <c r="O104" s="2">
        <f t="shared" ca="1" si="30"/>
        <v>0.66666666666666674</v>
      </c>
      <c r="P104" s="2">
        <f t="shared" ca="1" si="30"/>
        <v>0</v>
      </c>
      <c r="Q104" s="5">
        <f t="shared" ca="1" si="30"/>
        <v>0</v>
      </c>
      <c r="R104" s="5">
        <f t="shared" ca="1" si="30"/>
        <v>0</v>
      </c>
      <c r="S104" s="5">
        <f t="shared" ca="1" si="30"/>
        <v>0</v>
      </c>
      <c r="T104" s="5">
        <f t="shared" ca="1" si="30"/>
        <v>0</v>
      </c>
      <c r="U104" s="5">
        <f t="shared" ca="1" si="30"/>
        <v>0</v>
      </c>
      <c r="V104" s="5">
        <f t="shared" ca="1" si="30"/>
        <v>0.66666666666666674</v>
      </c>
      <c r="W104" s="5">
        <f t="shared" ca="1" si="30"/>
        <v>0.66666666666666674</v>
      </c>
      <c r="X104" s="5">
        <f t="shared" ca="1" si="30"/>
        <v>0.66666666666666674</v>
      </c>
      <c r="Y104" s="5">
        <f t="shared" ca="1" si="30"/>
        <v>0</v>
      </c>
      <c r="Z104" s="5">
        <f t="shared" ca="1" si="30"/>
        <v>0.66666666666666674</v>
      </c>
      <c r="AC104" s="2"/>
      <c r="AD104" s="2"/>
    </row>
    <row r="105" spans="1:30">
      <c r="A105">
        <v>39</v>
      </c>
      <c r="B105">
        <v>12</v>
      </c>
      <c r="C105" t="s">
        <v>8</v>
      </c>
      <c r="D105" s="2">
        <f t="shared" ca="1" si="29"/>
        <v>2</v>
      </c>
      <c r="E105" s="2">
        <f t="shared" ca="1" si="29"/>
        <v>12</v>
      </c>
      <c r="F105" s="2">
        <f t="shared" ca="1" si="29"/>
        <v>0.66666666666666674</v>
      </c>
      <c r="G105" s="2">
        <f t="shared" ca="1" si="29"/>
        <v>2</v>
      </c>
      <c r="H105" s="2">
        <f t="shared" ca="1" si="29"/>
        <v>4.666666666666667</v>
      </c>
      <c r="I105" s="2">
        <f t="shared" ca="1" si="29"/>
        <v>2</v>
      </c>
      <c r="J105" s="2">
        <f t="shared" ca="1" si="29"/>
        <v>6</v>
      </c>
      <c r="K105" s="2">
        <f t="shared" ca="1" si="29"/>
        <v>2</v>
      </c>
      <c r="L105" s="3">
        <f t="shared" ca="1" si="29"/>
        <v>36.666666666666664</v>
      </c>
      <c r="M105" s="2">
        <f t="shared" ca="1" si="29"/>
        <v>1.3333333333333335</v>
      </c>
      <c r="N105" s="2">
        <f t="shared" ca="1" si="30"/>
        <v>10.666666666666668</v>
      </c>
      <c r="O105" s="2">
        <f t="shared" ca="1" si="30"/>
        <v>7.333333333333333</v>
      </c>
      <c r="P105" s="2">
        <f t="shared" ca="1" si="30"/>
        <v>8.6666666666666679</v>
      </c>
      <c r="Q105" s="5">
        <f t="shared" ca="1" si="30"/>
        <v>0</v>
      </c>
      <c r="R105" s="5">
        <f t="shared" ca="1" si="30"/>
        <v>4.666666666666667</v>
      </c>
      <c r="S105" s="5">
        <f t="shared" ca="1" si="30"/>
        <v>0</v>
      </c>
      <c r="T105" s="5">
        <f t="shared" ca="1" si="30"/>
        <v>0.66666666666666674</v>
      </c>
      <c r="U105" s="5">
        <f t="shared" ca="1" si="30"/>
        <v>1.3333333333333335</v>
      </c>
      <c r="V105" s="5">
        <f t="shared" ca="1" si="30"/>
        <v>0</v>
      </c>
      <c r="W105" s="5">
        <f t="shared" ca="1" si="30"/>
        <v>0</v>
      </c>
      <c r="X105" s="5">
        <f t="shared" ca="1" si="30"/>
        <v>0.66666666666666674</v>
      </c>
      <c r="Y105" s="5">
        <f t="shared" ca="1" si="30"/>
        <v>0.66666666666666674</v>
      </c>
      <c r="Z105" s="5">
        <f t="shared" ca="1" si="30"/>
        <v>0</v>
      </c>
      <c r="AC105" s="2"/>
      <c r="AD105" s="2"/>
    </row>
    <row r="106" spans="1:30">
      <c r="A106">
        <v>40</v>
      </c>
      <c r="B106">
        <v>13</v>
      </c>
      <c r="C106" t="s">
        <v>9</v>
      </c>
      <c r="D106" s="2">
        <f t="shared" ca="1" si="29"/>
        <v>0.66666666666666674</v>
      </c>
      <c r="E106" s="2">
        <f t="shared" ca="1" si="29"/>
        <v>0</v>
      </c>
      <c r="F106" s="2">
        <f t="shared" ca="1" si="29"/>
        <v>0</v>
      </c>
      <c r="G106" s="2">
        <f t="shared" ca="1" si="29"/>
        <v>0</v>
      </c>
      <c r="H106" s="2">
        <f t="shared" ca="1" si="29"/>
        <v>0</v>
      </c>
      <c r="I106" s="2">
        <f t="shared" ca="1" si="29"/>
        <v>0</v>
      </c>
      <c r="J106" s="2">
        <f t="shared" ca="1" si="29"/>
        <v>53.333333333333336</v>
      </c>
      <c r="K106" s="2">
        <f t="shared" ca="1" si="29"/>
        <v>2</v>
      </c>
      <c r="L106" s="4">
        <f t="shared" ca="1" si="29"/>
        <v>1.3333333333333335</v>
      </c>
      <c r="M106" s="3">
        <f t="shared" ca="1" si="29"/>
        <v>41.333333333333336</v>
      </c>
      <c r="N106" s="2">
        <f t="shared" ca="1" si="30"/>
        <v>0</v>
      </c>
      <c r="O106" s="2">
        <f t="shared" ca="1" si="30"/>
        <v>0.66666666666666674</v>
      </c>
      <c r="P106" s="2">
        <f t="shared" ca="1" si="30"/>
        <v>0</v>
      </c>
      <c r="Q106" s="2">
        <f t="shared" ca="1" si="30"/>
        <v>0.66666666666666674</v>
      </c>
      <c r="R106" s="2">
        <f t="shared" ca="1" si="30"/>
        <v>0.66666666666666674</v>
      </c>
      <c r="S106" s="2">
        <f t="shared" ca="1" si="30"/>
        <v>0</v>
      </c>
      <c r="T106" s="2">
        <f t="shared" ca="1" si="30"/>
        <v>0</v>
      </c>
      <c r="U106" s="2">
        <f t="shared" ca="1" si="30"/>
        <v>0</v>
      </c>
      <c r="V106" s="2">
        <f t="shared" ca="1" si="30"/>
        <v>0</v>
      </c>
      <c r="W106" s="2">
        <f t="shared" ca="1" si="30"/>
        <v>0</v>
      </c>
      <c r="X106" s="2">
        <f t="shared" ca="1" si="30"/>
        <v>0</v>
      </c>
      <c r="Y106" s="2">
        <f t="shared" ca="1" si="30"/>
        <v>0</v>
      </c>
      <c r="Z106" s="2">
        <f t="shared" ca="1" si="30"/>
        <v>0.66666666666666674</v>
      </c>
      <c r="AC106" s="2"/>
      <c r="AD106" s="2"/>
    </row>
    <row r="107" spans="1:30">
      <c r="A107">
        <v>41</v>
      </c>
      <c r="B107">
        <v>14</v>
      </c>
      <c r="C107" t="s">
        <v>10</v>
      </c>
      <c r="D107" s="2">
        <f t="shared" ref="D107:M119" ca="1" si="31">MAX(INDIRECT((ADDRESS($A107,D$60))),INDIRECT((ADDRESS(D$61,$B107))))</f>
        <v>0</v>
      </c>
      <c r="E107" s="2">
        <f t="shared" ca="1" si="31"/>
        <v>0.66666666666666674</v>
      </c>
      <c r="F107" s="2">
        <f t="shared" ca="1" si="31"/>
        <v>0.66666666666666674</v>
      </c>
      <c r="G107" s="2">
        <f t="shared" ca="1" si="31"/>
        <v>1.3333333333333335</v>
      </c>
      <c r="H107" s="2">
        <f t="shared" ca="1" si="31"/>
        <v>16</v>
      </c>
      <c r="I107" s="2">
        <f t="shared" ca="1" si="31"/>
        <v>10</v>
      </c>
      <c r="J107" s="2">
        <f t="shared" ca="1" si="31"/>
        <v>0</v>
      </c>
      <c r="K107" s="2">
        <f t="shared" ca="1" si="31"/>
        <v>2.666666666666667</v>
      </c>
      <c r="L107" s="2">
        <f t="shared" ca="1" si="31"/>
        <v>10.666666666666668</v>
      </c>
      <c r="M107" s="2">
        <f t="shared" ca="1" si="31"/>
        <v>0</v>
      </c>
      <c r="N107" s="3">
        <f t="shared" ref="N107:Z119" ca="1" si="32">MAX(INDIRECT((ADDRESS($A107,N$60))),INDIRECT((ADDRESS(N$61,$B107))))</f>
        <v>30</v>
      </c>
      <c r="O107" s="2">
        <f t="shared" ca="1" si="32"/>
        <v>2.666666666666667</v>
      </c>
      <c r="P107" s="2">
        <f t="shared" ca="1" si="32"/>
        <v>8</v>
      </c>
      <c r="Q107" s="2">
        <f t="shared" ca="1" si="32"/>
        <v>6</v>
      </c>
      <c r="R107" s="2">
        <f t="shared" ca="1" si="32"/>
        <v>14.000000000000002</v>
      </c>
      <c r="S107" s="2">
        <f t="shared" ca="1" si="32"/>
        <v>0</v>
      </c>
      <c r="T107" s="2">
        <f t="shared" ca="1" si="32"/>
        <v>0</v>
      </c>
      <c r="U107" s="2">
        <f t="shared" ca="1" si="32"/>
        <v>0</v>
      </c>
      <c r="V107" s="2">
        <f t="shared" ca="1" si="32"/>
        <v>0.66666666666666674</v>
      </c>
      <c r="W107" s="2">
        <f t="shared" ca="1" si="32"/>
        <v>2</v>
      </c>
      <c r="X107" s="2">
        <f t="shared" ca="1" si="32"/>
        <v>0.66666666666666674</v>
      </c>
      <c r="Y107" s="2">
        <f t="shared" ca="1" si="32"/>
        <v>1.3333333333333335</v>
      </c>
      <c r="Z107" s="2">
        <f t="shared" ca="1" si="32"/>
        <v>0</v>
      </c>
      <c r="AC107" s="2"/>
      <c r="AD107" s="2"/>
    </row>
    <row r="108" spans="1:30">
      <c r="A108">
        <v>42</v>
      </c>
      <c r="B108">
        <v>15</v>
      </c>
      <c r="C108" t="s">
        <v>11</v>
      </c>
      <c r="D108" s="2">
        <f t="shared" ca="1" si="31"/>
        <v>9.3333333333333339</v>
      </c>
      <c r="E108" s="2">
        <f t="shared" ca="1" si="31"/>
        <v>10.666666666666668</v>
      </c>
      <c r="F108" s="2">
        <f t="shared" ca="1" si="31"/>
        <v>6</v>
      </c>
      <c r="G108" s="2">
        <f t="shared" ca="1" si="31"/>
        <v>8</v>
      </c>
      <c r="H108" s="2">
        <f t="shared" ca="1" si="31"/>
        <v>1.3333333333333335</v>
      </c>
      <c r="I108" s="2">
        <f t="shared" ca="1" si="31"/>
        <v>0.66666666666666674</v>
      </c>
      <c r="J108" s="2">
        <f t="shared" ca="1" si="31"/>
        <v>3.3333333333333335</v>
      </c>
      <c r="K108" s="2">
        <f t="shared" ca="1" si="31"/>
        <v>0.66666666666666674</v>
      </c>
      <c r="L108" s="2">
        <f t="shared" ca="1" si="31"/>
        <v>7.333333333333333</v>
      </c>
      <c r="M108" s="2">
        <f t="shared" ca="1" si="31"/>
        <v>0.66666666666666674</v>
      </c>
      <c r="N108" s="2">
        <f t="shared" ca="1" si="32"/>
        <v>2.666666666666667</v>
      </c>
      <c r="O108" s="3">
        <f t="shared" ca="1" si="32"/>
        <v>36</v>
      </c>
      <c r="P108" s="2">
        <f t="shared" ca="1" si="32"/>
        <v>24</v>
      </c>
      <c r="Q108" s="2">
        <f t="shared" ca="1" si="32"/>
        <v>2.666666666666667</v>
      </c>
      <c r="R108" s="2">
        <f t="shared" ca="1" si="32"/>
        <v>4</v>
      </c>
      <c r="S108" s="2">
        <f t="shared" ca="1" si="32"/>
        <v>3.3333333333333335</v>
      </c>
      <c r="T108" s="2">
        <f t="shared" ca="1" si="32"/>
        <v>0</v>
      </c>
      <c r="U108" s="2">
        <f t="shared" ca="1" si="32"/>
        <v>0.66666666666666674</v>
      </c>
      <c r="V108" s="2">
        <f t="shared" ca="1" si="32"/>
        <v>3.3333333333333335</v>
      </c>
      <c r="W108" s="2">
        <f t="shared" ca="1" si="32"/>
        <v>0.66666666666666674</v>
      </c>
      <c r="X108" s="2">
        <f t="shared" ca="1" si="32"/>
        <v>0.66666666666666674</v>
      </c>
      <c r="Y108" s="2">
        <f t="shared" ca="1" si="32"/>
        <v>0</v>
      </c>
      <c r="Z108" s="2">
        <f t="shared" ca="1" si="32"/>
        <v>2.666666666666667</v>
      </c>
      <c r="AC108" s="2"/>
      <c r="AD108" s="2"/>
    </row>
    <row r="109" spans="1:30">
      <c r="A109">
        <v>43</v>
      </c>
      <c r="B109">
        <v>16</v>
      </c>
      <c r="C109" t="s">
        <v>12</v>
      </c>
      <c r="D109" s="2">
        <f t="shared" ca="1" si="31"/>
        <v>7.333333333333333</v>
      </c>
      <c r="E109" s="2">
        <f t="shared" ca="1" si="31"/>
        <v>12</v>
      </c>
      <c r="F109" s="2">
        <f t="shared" ca="1" si="31"/>
        <v>4.666666666666667</v>
      </c>
      <c r="G109" s="2">
        <f t="shared" ca="1" si="31"/>
        <v>7.333333333333333</v>
      </c>
      <c r="H109" s="2">
        <f t="shared" ca="1" si="31"/>
        <v>4</v>
      </c>
      <c r="I109" s="2">
        <f t="shared" ca="1" si="31"/>
        <v>3.3333333333333335</v>
      </c>
      <c r="J109" s="2">
        <f t="shared" ca="1" si="31"/>
        <v>1.3333333333333335</v>
      </c>
      <c r="K109" s="2">
        <f t="shared" ca="1" si="31"/>
        <v>0</v>
      </c>
      <c r="L109" s="2">
        <f t="shared" ca="1" si="31"/>
        <v>8.6666666666666679</v>
      </c>
      <c r="M109" s="2">
        <f t="shared" ca="1" si="31"/>
        <v>0</v>
      </c>
      <c r="N109" s="2">
        <f t="shared" ca="1" si="32"/>
        <v>8</v>
      </c>
      <c r="O109" s="2">
        <f t="shared" ca="1" si="32"/>
        <v>24</v>
      </c>
      <c r="P109" s="3">
        <f t="shared" ca="1" si="32"/>
        <v>13.333333333333334</v>
      </c>
      <c r="Q109" s="2">
        <f t="shared" ca="1" si="32"/>
        <v>11.333333333333332</v>
      </c>
      <c r="R109" s="2">
        <f t="shared" ca="1" si="32"/>
        <v>10.666666666666668</v>
      </c>
      <c r="S109" s="2">
        <f t="shared" ca="1" si="32"/>
        <v>2</v>
      </c>
      <c r="T109" s="2">
        <f t="shared" ca="1" si="32"/>
        <v>0</v>
      </c>
      <c r="U109" s="2">
        <f t="shared" ca="1" si="32"/>
        <v>0.66666666666666674</v>
      </c>
      <c r="V109" s="2">
        <f t="shared" ca="1" si="32"/>
        <v>0</v>
      </c>
      <c r="W109" s="2">
        <f t="shared" ca="1" si="32"/>
        <v>0</v>
      </c>
      <c r="X109" s="2">
        <f t="shared" ca="1" si="32"/>
        <v>0</v>
      </c>
      <c r="Y109" s="2">
        <f t="shared" ca="1" si="32"/>
        <v>0</v>
      </c>
      <c r="Z109" s="2">
        <f t="shared" ca="1" si="32"/>
        <v>1.3333333333333335</v>
      </c>
    </row>
    <row r="110" spans="1:30">
      <c r="A110">
        <v>44</v>
      </c>
      <c r="B110">
        <v>17</v>
      </c>
      <c r="C110" t="s">
        <v>13</v>
      </c>
      <c r="D110" s="5">
        <f t="shared" ca="1" si="31"/>
        <v>2</v>
      </c>
      <c r="E110" s="5">
        <f t="shared" ca="1" si="31"/>
        <v>1.3333333333333335</v>
      </c>
      <c r="F110" s="5">
        <f t="shared" ca="1" si="31"/>
        <v>0.66666666666666674</v>
      </c>
      <c r="G110" s="5">
        <f t="shared" ca="1" si="31"/>
        <v>11.333333333333332</v>
      </c>
      <c r="H110" s="5">
        <f t="shared" ca="1" si="31"/>
        <v>10</v>
      </c>
      <c r="I110" s="5">
        <f t="shared" ca="1" si="31"/>
        <v>5.3333333333333339</v>
      </c>
      <c r="J110" s="5">
        <f t="shared" ca="1" si="31"/>
        <v>0</v>
      </c>
      <c r="K110" s="5">
        <f t="shared" ca="1" si="31"/>
        <v>0</v>
      </c>
      <c r="L110" s="5">
        <f t="shared" ca="1" si="31"/>
        <v>0</v>
      </c>
      <c r="M110" s="5">
        <f t="shared" ca="1" si="31"/>
        <v>0.66666666666666674</v>
      </c>
      <c r="N110" s="5">
        <f t="shared" ca="1" si="32"/>
        <v>6</v>
      </c>
      <c r="O110" s="2">
        <f t="shared" ca="1" si="32"/>
        <v>2.666666666666667</v>
      </c>
      <c r="P110" s="2">
        <f t="shared" ca="1" si="32"/>
        <v>11.333333333333332</v>
      </c>
      <c r="Q110" s="3">
        <f t="shared" ca="1" si="32"/>
        <v>22.666666666666664</v>
      </c>
      <c r="R110" s="2">
        <f t="shared" ca="1" si="32"/>
        <v>20.666666666666668</v>
      </c>
      <c r="S110" s="2">
        <f t="shared" ca="1" si="32"/>
        <v>0.66666666666666674</v>
      </c>
      <c r="T110" s="2">
        <f t="shared" ca="1" si="32"/>
        <v>0.66666666666666674</v>
      </c>
      <c r="U110" s="2">
        <f t="shared" ca="1" si="32"/>
        <v>0.66666666666666674</v>
      </c>
      <c r="V110" s="2">
        <f t="shared" ca="1" si="32"/>
        <v>6</v>
      </c>
      <c r="W110" s="2">
        <f t="shared" ca="1" si="32"/>
        <v>1.3333333333333335</v>
      </c>
      <c r="X110" s="2">
        <f t="shared" ca="1" si="32"/>
        <v>1.3333333333333335</v>
      </c>
      <c r="Y110" s="2">
        <f t="shared" ca="1" si="32"/>
        <v>2</v>
      </c>
      <c r="Z110" s="2">
        <f t="shared" ca="1" si="32"/>
        <v>1.3333333333333335</v>
      </c>
      <c r="AC110" s="2"/>
      <c r="AD110" s="2"/>
    </row>
    <row r="111" spans="1:30">
      <c r="A111">
        <v>45</v>
      </c>
      <c r="B111">
        <v>18</v>
      </c>
      <c r="C111" t="s">
        <v>14</v>
      </c>
      <c r="D111" s="5">
        <f t="shared" ca="1" si="31"/>
        <v>2.666666666666667</v>
      </c>
      <c r="E111" s="5">
        <f t="shared" ca="1" si="31"/>
        <v>1.3333333333333335</v>
      </c>
      <c r="F111" s="5">
        <f t="shared" ca="1" si="31"/>
        <v>1.3333333333333335</v>
      </c>
      <c r="G111" s="5">
        <f t="shared" ca="1" si="31"/>
        <v>8</v>
      </c>
      <c r="H111" s="5">
        <f t="shared" ca="1" si="31"/>
        <v>8</v>
      </c>
      <c r="I111" s="5">
        <f t="shared" ca="1" si="31"/>
        <v>4.666666666666667</v>
      </c>
      <c r="J111" s="5">
        <f t="shared" ca="1" si="31"/>
        <v>2</v>
      </c>
      <c r="K111" s="5">
        <f t="shared" ca="1" si="31"/>
        <v>0</v>
      </c>
      <c r="L111" s="5">
        <f t="shared" ca="1" si="31"/>
        <v>4.666666666666667</v>
      </c>
      <c r="M111" s="5">
        <f t="shared" ca="1" si="31"/>
        <v>0.66666666666666674</v>
      </c>
      <c r="N111" s="5">
        <f t="shared" ca="1" si="32"/>
        <v>14.000000000000002</v>
      </c>
      <c r="O111" s="2">
        <f t="shared" ca="1" si="32"/>
        <v>4</v>
      </c>
      <c r="P111" s="2">
        <f t="shared" ca="1" si="32"/>
        <v>10.666666666666668</v>
      </c>
      <c r="Q111" s="2">
        <f t="shared" ca="1" si="32"/>
        <v>20.666666666666668</v>
      </c>
      <c r="R111" s="3">
        <f t="shared" ca="1" si="32"/>
        <v>30</v>
      </c>
      <c r="S111" s="2">
        <f t="shared" ca="1" si="32"/>
        <v>0.66666666666666674</v>
      </c>
      <c r="T111" s="2">
        <f t="shared" ca="1" si="32"/>
        <v>1.3333333333333335</v>
      </c>
      <c r="U111" s="2">
        <f t="shared" ca="1" si="32"/>
        <v>1.3333333333333335</v>
      </c>
      <c r="V111" s="2">
        <f t="shared" ca="1" si="32"/>
        <v>3.3333333333333335</v>
      </c>
      <c r="W111" s="2">
        <f t="shared" ca="1" si="32"/>
        <v>2.666666666666667</v>
      </c>
      <c r="X111" s="2">
        <f t="shared" ca="1" si="32"/>
        <v>1.3333333333333335</v>
      </c>
      <c r="Y111" s="2">
        <f t="shared" ca="1" si="32"/>
        <v>0</v>
      </c>
      <c r="Z111" s="2">
        <f t="shared" ca="1" si="32"/>
        <v>1.3333333333333335</v>
      </c>
      <c r="AC111" s="2"/>
      <c r="AD111" s="2"/>
    </row>
    <row r="112" spans="1:30">
      <c r="A112">
        <v>46</v>
      </c>
      <c r="B112">
        <v>19</v>
      </c>
      <c r="C112" t="s">
        <v>15</v>
      </c>
      <c r="D112" s="5">
        <f t="shared" ca="1" si="31"/>
        <v>19.333333333333332</v>
      </c>
      <c r="E112" s="5">
        <f t="shared" ca="1" si="31"/>
        <v>28.000000000000004</v>
      </c>
      <c r="F112" s="5">
        <f t="shared" ca="1" si="31"/>
        <v>22</v>
      </c>
      <c r="G112" s="5">
        <f t="shared" ca="1" si="31"/>
        <v>0.66666666666666674</v>
      </c>
      <c r="H112" s="5">
        <f t="shared" ca="1" si="31"/>
        <v>0</v>
      </c>
      <c r="I112" s="5">
        <f t="shared" ca="1" si="31"/>
        <v>1.3333333333333335</v>
      </c>
      <c r="J112" s="5">
        <f t="shared" ca="1" si="31"/>
        <v>1.3333333333333335</v>
      </c>
      <c r="K112" s="5">
        <f t="shared" ca="1" si="31"/>
        <v>0</v>
      </c>
      <c r="L112" s="5">
        <f t="shared" ca="1" si="31"/>
        <v>0</v>
      </c>
      <c r="M112" s="5">
        <f t="shared" ca="1" si="31"/>
        <v>0</v>
      </c>
      <c r="N112" s="5">
        <f t="shared" ca="1" si="32"/>
        <v>0</v>
      </c>
      <c r="O112" s="2">
        <f t="shared" ca="1" si="32"/>
        <v>3.3333333333333335</v>
      </c>
      <c r="P112" s="2">
        <f t="shared" ca="1" si="32"/>
        <v>2</v>
      </c>
      <c r="Q112" s="2">
        <f t="shared" ca="1" si="32"/>
        <v>0.66666666666666674</v>
      </c>
      <c r="R112" s="2">
        <f t="shared" ca="1" si="32"/>
        <v>0.66666666666666674</v>
      </c>
      <c r="S112" s="3">
        <f t="shared" ca="1" si="32"/>
        <v>12.666666666666668</v>
      </c>
      <c r="T112" s="2">
        <f t="shared" ca="1" si="32"/>
        <v>1.3333333333333335</v>
      </c>
      <c r="U112" s="2">
        <f t="shared" ca="1" si="32"/>
        <v>0</v>
      </c>
      <c r="V112" s="2">
        <f t="shared" ca="1" si="32"/>
        <v>1.3333333333333335</v>
      </c>
      <c r="W112" s="2">
        <f t="shared" ca="1" si="32"/>
        <v>0</v>
      </c>
      <c r="X112" s="2">
        <f t="shared" ca="1" si="32"/>
        <v>1.3333333333333335</v>
      </c>
      <c r="Y112" s="2">
        <f t="shared" ca="1" si="32"/>
        <v>0.66666666666666674</v>
      </c>
      <c r="Z112" s="2">
        <f t="shared" ca="1" si="32"/>
        <v>9.3333333333333339</v>
      </c>
      <c r="AC112" s="2"/>
      <c r="AD112" s="2"/>
    </row>
    <row r="113" spans="1:30">
      <c r="A113">
        <v>47</v>
      </c>
      <c r="B113">
        <v>20</v>
      </c>
      <c r="C113" t="s">
        <v>16</v>
      </c>
      <c r="D113" s="5">
        <f t="shared" ca="1" si="31"/>
        <v>0</v>
      </c>
      <c r="E113" s="5">
        <f t="shared" ca="1" si="31"/>
        <v>0.66666666666666674</v>
      </c>
      <c r="F113" s="5">
        <f t="shared" ca="1" si="31"/>
        <v>0.66666666666666674</v>
      </c>
      <c r="G113" s="5">
        <f t="shared" ca="1" si="31"/>
        <v>0</v>
      </c>
      <c r="H113" s="5">
        <f t="shared" ca="1" si="31"/>
        <v>0</v>
      </c>
      <c r="I113" s="5">
        <f t="shared" ca="1" si="31"/>
        <v>0</v>
      </c>
      <c r="J113" s="5">
        <f t="shared" ca="1" si="31"/>
        <v>0.66666666666666674</v>
      </c>
      <c r="K113" s="5">
        <f t="shared" ca="1" si="31"/>
        <v>0</v>
      </c>
      <c r="L113" s="5">
        <f t="shared" ca="1" si="31"/>
        <v>0.66666666666666674</v>
      </c>
      <c r="M113" s="5">
        <f t="shared" ca="1" si="31"/>
        <v>0</v>
      </c>
      <c r="N113" s="5">
        <f t="shared" ca="1" si="32"/>
        <v>0</v>
      </c>
      <c r="O113" s="2">
        <f t="shared" ca="1" si="32"/>
        <v>0</v>
      </c>
      <c r="P113" s="2">
        <f t="shared" ca="1" si="32"/>
        <v>0</v>
      </c>
      <c r="Q113" s="2">
        <f t="shared" ca="1" si="32"/>
        <v>0.66666666666666674</v>
      </c>
      <c r="R113" s="2">
        <f t="shared" ca="1" si="32"/>
        <v>1.3333333333333335</v>
      </c>
      <c r="S113" s="2">
        <f t="shared" ca="1" si="32"/>
        <v>1.3333333333333335</v>
      </c>
      <c r="T113" s="3">
        <f t="shared" ca="1" si="32"/>
        <v>78.666666666666657</v>
      </c>
      <c r="U113" s="2">
        <f t="shared" ca="1" si="32"/>
        <v>17.333333333333336</v>
      </c>
      <c r="V113" s="2">
        <f t="shared" ca="1" si="32"/>
        <v>1.3333333333333335</v>
      </c>
      <c r="W113" s="2">
        <f t="shared" ca="1" si="32"/>
        <v>0</v>
      </c>
      <c r="X113" s="2">
        <f t="shared" ca="1" si="32"/>
        <v>0.66666666666666674</v>
      </c>
      <c r="Y113" s="2">
        <f t="shared" ca="1" si="32"/>
        <v>2</v>
      </c>
      <c r="Z113" s="2">
        <f t="shared" ca="1" si="32"/>
        <v>0.66666666666666674</v>
      </c>
      <c r="AC113" s="2"/>
      <c r="AD113" s="2"/>
    </row>
    <row r="114" spans="1:30">
      <c r="A114">
        <v>48</v>
      </c>
      <c r="B114">
        <v>21</v>
      </c>
      <c r="C114" t="s">
        <v>17</v>
      </c>
      <c r="D114" s="5">
        <f t="shared" ca="1" si="31"/>
        <v>0</v>
      </c>
      <c r="E114" s="5">
        <f t="shared" ca="1" si="31"/>
        <v>0.66666666666666674</v>
      </c>
      <c r="F114" s="5">
        <f t="shared" ca="1" si="31"/>
        <v>0</v>
      </c>
      <c r="G114" s="5">
        <f t="shared" ca="1" si="31"/>
        <v>0</v>
      </c>
      <c r="H114" s="5">
        <f t="shared" ca="1" si="31"/>
        <v>0</v>
      </c>
      <c r="I114" s="5">
        <f t="shared" ca="1" si="31"/>
        <v>0</v>
      </c>
      <c r="J114" s="5">
        <f t="shared" ca="1" si="31"/>
        <v>0</v>
      </c>
      <c r="K114" s="5">
        <f t="shared" ca="1" si="31"/>
        <v>0</v>
      </c>
      <c r="L114" s="5">
        <f t="shared" ca="1" si="31"/>
        <v>1.3333333333333335</v>
      </c>
      <c r="M114" s="5">
        <f t="shared" ca="1" si="31"/>
        <v>0</v>
      </c>
      <c r="N114" s="5">
        <f t="shared" ca="1" si="32"/>
        <v>0</v>
      </c>
      <c r="O114" s="2">
        <f t="shared" ca="1" si="32"/>
        <v>0.66666666666666674</v>
      </c>
      <c r="P114" s="2">
        <f t="shared" ca="1" si="32"/>
        <v>0.66666666666666674</v>
      </c>
      <c r="Q114" s="2">
        <f t="shared" ca="1" si="32"/>
        <v>0.66666666666666674</v>
      </c>
      <c r="R114" s="2">
        <f t="shared" ca="1" si="32"/>
        <v>1.3333333333333335</v>
      </c>
      <c r="S114" s="2">
        <f t="shared" ca="1" si="32"/>
        <v>0</v>
      </c>
      <c r="T114" s="2">
        <f t="shared" ca="1" si="32"/>
        <v>17.333333333333336</v>
      </c>
      <c r="U114" s="3">
        <f t="shared" ca="1" si="32"/>
        <v>84</v>
      </c>
      <c r="V114" s="2">
        <f t="shared" ca="1" si="32"/>
        <v>2</v>
      </c>
      <c r="W114" s="2">
        <f t="shared" ca="1" si="32"/>
        <v>0.66666666666666674</v>
      </c>
      <c r="X114" s="2">
        <f t="shared" ca="1" si="32"/>
        <v>0</v>
      </c>
      <c r="Y114" s="2">
        <f t="shared" ca="1" si="32"/>
        <v>0.66666666666666674</v>
      </c>
      <c r="Z114" s="2">
        <f t="shared" ca="1" si="32"/>
        <v>1.3333333333333335</v>
      </c>
      <c r="AC114" s="2"/>
      <c r="AD114" s="2"/>
    </row>
    <row r="115" spans="1:30">
      <c r="A115">
        <v>49</v>
      </c>
      <c r="B115">
        <v>22</v>
      </c>
      <c r="C115" t="s">
        <v>18</v>
      </c>
      <c r="D115" s="5">
        <f t="shared" ca="1" si="31"/>
        <v>2</v>
      </c>
      <c r="E115" s="5">
        <f t="shared" ca="1" si="31"/>
        <v>0</v>
      </c>
      <c r="F115" s="5">
        <f t="shared" ca="1" si="31"/>
        <v>0.66666666666666674</v>
      </c>
      <c r="G115" s="5">
        <f t="shared" ca="1" si="31"/>
        <v>7.333333333333333</v>
      </c>
      <c r="H115" s="5">
        <f t="shared" ca="1" si="31"/>
        <v>0.66666666666666674</v>
      </c>
      <c r="I115" s="5">
        <f t="shared" ca="1" si="31"/>
        <v>2.666666666666667</v>
      </c>
      <c r="J115" s="5">
        <f t="shared" ca="1" si="31"/>
        <v>0.66666666666666674</v>
      </c>
      <c r="K115" s="5">
        <f t="shared" ca="1" si="31"/>
        <v>0.66666666666666674</v>
      </c>
      <c r="L115" s="5">
        <f t="shared" ca="1" si="31"/>
        <v>0</v>
      </c>
      <c r="M115" s="5">
        <f t="shared" ca="1" si="31"/>
        <v>0</v>
      </c>
      <c r="N115" s="5">
        <f t="shared" ca="1" si="32"/>
        <v>0.66666666666666674</v>
      </c>
      <c r="O115" s="2">
        <f t="shared" ca="1" si="32"/>
        <v>3.3333333333333335</v>
      </c>
      <c r="P115" s="2">
        <f t="shared" ca="1" si="32"/>
        <v>0</v>
      </c>
      <c r="Q115" s="2">
        <f t="shared" ca="1" si="32"/>
        <v>6</v>
      </c>
      <c r="R115" s="2">
        <f t="shared" ca="1" si="32"/>
        <v>3.3333333333333335</v>
      </c>
      <c r="S115" s="2">
        <f t="shared" ca="1" si="32"/>
        <v>1.3333333333333335</v>
      </c>
      <c r="T115" s="2">
        <f t="shared" ca="1" si="32"/>
        <v>1.3333333333333335</v>
      </c>
      <c r="U115" s="2">
        <f t="shared" ca="1" si="32"/>
        <v>2</v>
      </c>
      <c r="V115" s="3">
        <f t="shared" ca="1" si="32"/>
        <v>71.333333333333343</v>
      </c>
      <c r="W115" s="2">
        <f t="shared" ca="1" si="32"/>
        <v>20</v>
      </c>
      <c r="X115" s="2">
        <f t="shared" ca="1" si="32"/>
        <v>9.3333333333333339</v>
      </c>
      <c r="Y115" s="2">
        <f t="shared" ca="1" si="32"/>
        <v>2</v>
      </c>
      <c r="Z115" s="2">
        <f t="shared" ca="1" si="32"/>
        <v>2</v>
      </c>
      <c r="AC115" s="2"/>
      <c r="AD115" s="2"/>
    </row>
    <row r="116" spans="1:30">
      <c r="A116">
        <v>50</v>
      </c>
      <c r="B116">
        <v>23</v>
      </c>
      <c r="C116" t="s">
        <v>19</v>
      </c>
      <c r="D116" s="5">
        <f t="shared" ca="1" si="31"/>
        <v>0</v>
      </c>
      <c r="E116" s="5">
        <f t="shared" ca="1" si="31"/>
        <v>2</v>
      </c>
      <c r="F116" s="5">
        <f t="shared" ca="1" si="31"/>
        <v>0.66666666666666674</v>
      </c>
      <c r="G116" s="5">
        <f t="shared" ca="1" si="31"/>
        <v>1.3333333333333335</v>
      </c>
      <c r="H116" s="5">
        <f t="shared" ca="1" si="31"/>
        <v>0.66666666666666674</v>
      </c>
      <c r="I116" s="5">
        <f t="shared" ca="1" si="31"/>
        <v>4.666666666666667</v>
      </c>
      <c r="J116" s="5">
        <f t="shared" ca="1" si="31"/>
        <v>0</v>
      </c>
      <c r="K116" s="5">
        <f t="shared" ca="1" si="31"/>
        <v>0.66666666666666674</v>
      </c>
      <c r="L116" s="5">
        <f t="shared" ca="1" si="31"/>
        <v>0</v>
      </c>
      <c r="M116" s="5">
        <f t="shared" ca="1" si="31"/>
        <v>0</v>
      </c>
      <c r="N116" s="5">
        <f t="shared" ca="1" si="32"/>
        <v>2</v>
      </c>
      <c r="O116" s="2">
        <f t="shared" ca="1" si="32"/>
        <v>0.66666666666666674</v>
      </c>
      <c r="P116" s="2">
        <f t="shared" ca="1" si="32"/>
        <v>0</v>
      </c>
      <c r="Q116" s="2">
        <f t="shared" ca="1" si="32"/>
        <v>1.3333333333333335</v>
      </c>
      <c r="R116" s="2">
        <f t="shared" ca="1" si="32"/>
        <v>2.666666666666667</v>
      </c>
      <c r="S116" s="2">
        <f t="shared" ca="1" si="32"/>
        <v>0</v>
      </c>
      <c r="T116" s="2">
        <f t="shared" ca="1" si="32"/>
        <v>0</v>
      </c>
      <c r="U116" s="2">
        <f t="shared" ca="1" si="32"/>
        <v>0.66666666666666674</v>
      </c>
      <c r="V116" s="2">
        <f t="shared" ca="1" si="32"/>
        <v>20</v>
      </c>
      <c r="W116" s="3">
        <f t="shared" ca="1" si="32"/>
        <v>45.333333333333329</v>
      </c>
      <c r="X116" s="2">
        <f t="shared" ca="1" si="32"/>
        <v>14.666666666666666</v>
      </c>
      <c r="Y116" s="2">
        <f t="shared" ca="1" si="32"/>
        <v>13.333333333333334</v>
      </c>
      <c r="Z116" s="2">
        <f t="shared" ca="1" si="32"/>
        <v>2</v>
      </c>
      <c r="AC116" s="2"/>
      <c r="AD116" s="2"/>
    </row>
    <row r="117" spans="1:30">
      <c r="A117">
        <v>51</v>
      </c>
      <c r="B117">
        <v>24</v>
      </c>
      <c r="C117" t="s">
        <v>20</v>
      </c>
      <c r="D117" s="5">
        <f t="shared" ca="1" si="31"/>
        <v>0</v>
      </c>
      <c r="E117" s="5">
        <f t="shared" ca="1" si="31"/>
        <v>2.666666666666667</v>
      </c>
      <c r="F117" s="5">
        <f t="shared" ca="1" si="31"/>
        <v>0.66666666666666674</v>
      </c>
      <c r="G117" s="5">
        <f t="shared" ca="1" si="31"/>
        <v>1.3333333333333335</v>
      </c>
      <c r="H117" s="5">
        <f t="shared" ca="1" si="31"/>
        <v>0.66666666666666674</v>
      </c>
      <c r="I117" s="5">
        <f t="shared" ca="1" si="31"/>
        <v>3.3333333333333335</v>
      </c>
      <c r="J117" s="5">
        <f t="shared" ca="1" si="31"/>
        <v>0.66666666666666674</v>
      </c>
      <c r="K117" s="5">
        <f t="shared" ca="1" si="31"/>
        <v>0.66666666666666674</v>
      </c>
      <c r="L117" s="5">
        <f t="shared" ca="1" si="31"/>
        <v>0.66666666666666674</v>
      </c>
      <c r="M117" s="5">
        <f t="shared" ca="1" si="31"/>
        <v>0</v>
      </c>
      <c r="N117" s="5">
        <f t="shared" ca="1" si="32"/>
        <v>0.66666666666666674</v>
      </c>
      <c r="O117" s="2">
        <f t="shared" ca="1" si="32"/>
        <v>0.66666666666666674</v>
      </c>
      <c r="P117" s="2">
        <f t="shared" ca="1" si="32"/>
        <v>0</v>
      </c>
      <c r="Q117" s="2">
        <f t="shared" ca="1" si="32"/>
        <v>1.3333333333333335</v>
      </c>
      <c r="R117" s="2">
        <f t="shared" ca="1" si="32"/>
        <v>1.3333333333333335</v>
      </c>
      <c r="S117" s="2">
        <f t="shared" ca="1" si="32"/>
        <v>1.3333333333333335</v>
      </c>
      <c r="T117" s="2">
        <f t="shared" ca="1" si="32"/>
        <v>0.66666666666666674</v>
      </c>
      <c r="U117" s="2">
        <f t="shared" ca="1" si="32"/>
        <v>0</v>
      </c>
      <c r="V117" s="2">
        <f t="shared" ca="1" si="32"/>
        <v>9.3333333333333339</v>
      </c>
      <c r="W117" s="2">
        <f t="shared" ca="1" si="32"/>
        <v>14.666666666666666</v>
      </c>
      <c r="X117" s="3">
        <f t="shared" ca="1" si="32"/>
        <v>50</v>
      </c>
      <c r="Y117" s="2">
        <f t="shared" ca="1" si="32"/>
        <v>11.333333333333332</v>
      </c>
      <c r="Z117" s="2">
        <f t="shared" ca="1" si="32"/>
        <v>0.66666666666666674</v>
      </c>
      <c r="AC117" s="2"/>
      <c r="AD117" s="2"/>
    </row>
    <row r="118" spans="1:30">
      <c r="A118">
        <v>52</v>
      </c>
      <c r="B118">
        <v>25</v>
      </c>
      <c r="C118" t="s">
        <v>21</v>
      </c>
      <c r="D118" s="5">
        <f t="shared" ca="1" si="31"/>
        <v>0</v>
      </c>
      <c r="E118" s="5">
        <f t="shared" ca="1" si="31"/>
        <v>0</v>
      </c>
      <c r="F118" s="5">
        <f t="shared" ca="1" si="31"/>
        <v>0</v>
      </c>
      <c r="G118" s="5">
        <f t="shared" ca="1" si="31"/>
        <v>1.3333333333333335</v>
      </c>
      <c r="H118" s="5">
        <f t="shared" ca="1" si="31"/>
        <v>0.66666666666666674</v>
      </c>
      <c r="I118" s="5">
        <f t="shared" ca="1" si="31"/>
        <v>11.333333333333332</v>
      </c>
      <c r="J118" s="5">
        <f t="shared" ca="1" si="31"/>
        <v>0</v>
      </c>
      <c r="K118" s="5">
        <f t="shared" ca="1" si="31"/>
        <v>0</v>
      </c>
      <c r="L118" s="5">
        <f t="shared" ca="1" si="31"/>
        <v>0.66666666666666674</v>
      </c>
      <c r="M118" s="5">
        <f t="shared" ca="1" si="31"/>
        <v>0</v>
      </c>
      <c r="N118" s="5">
        <f t="shared" ca="1" si="32"/>
        <v>1.3333333333333335</v>
      </c>
      <c r="O118" s="2">
        <f t="shared" ca="1" si="32"/>
        <v>0</v>
      </c>
      <c r="P118" s="2">
        <f t="shared" ca="1" si="32"/>
        <v>0</v>
      </c>
      <c r="Q118" s="2">
        <f t="shared" ca="1" si="32"/>
        <v>2</v>
      </c>
      <c r="R118" s="2">
        <f t="shared" ca="1" si="32"/>
        <v>0</v>
      </c>
      <c r="S118" s="2">
        <f t="shared" ca="1" si="32"/>
        <v>0.66666666666666674</v>
      </c>
      <c r="T118" s="2">
        <f t="shared" ca="1" si="32"/>
        <v>2</v>
      </c>
      <c r="U118" s="2">
        <f t="shared" ca="1" si="32"/>
        <v>0.66666666666666674</v>
      </c>
      <c r="V118" s="2">
        <f t="shared" ca="1" si="32"/>
        <v>2</v>
      </c>
      <c r="W118" s="2">
        <f t="shared" ca="1" si="32"/>
        <v>13.333333333333334</v>
      </c>
      <c r="X118" s="2">
        <f t="shared" ca="1" si="32"/>
        <v>11.333333333333332</v>
      </c>
      <c r="Y118" s="3">
        <f t="shared" ca="1" si="32"/>
        <v>72</v>
      </c>
      <c r="Z118" s="2">
        <f t="shared" ca="1" si="32"/>
        <v>6.666666666666667</v>
      </c>
      <c r="AC118" s="2"/>
      <c r="AD118" s="2"/>
    </row>
    <row r="119" spans="1:30">
      <c r="A119">
        <v>53</v>
      </c>
      <c r="B119">
        <v>26</v>
      </c>
      <c r="C119" t="s">
        <v>22</v>
      </c>
      <c r="D119" s="5">
        <f t="shared" ca="1" si="31"/>
        <v>4</v>
      </c>
      <c r="E119" s="5">
        <f t="shared" ca="1" si="31"/>
        <v>3.3333333333333335</v>
      </c>
      <c r="F119" s="5">
        <f t="shared" ca="1" si="31"/>
        <v>6.666666666666667</v>
      </c>
      <c r="G119" s="5">
        <f t="shared" ca="1" si="31"/>
        <v>2.666666666666667</v>
      </c>
      <c r="H119" s="5">
        <f t="shared" ca="1" si="31"/>
        <v>0.66666666666666674</v>
      </c>
      <c r="I119" s="5">
        <f t="shared" ca="1" si="31"/>
        <v>2.666666666666667</v>
      </c>
      <c r="J119" s="5">
        <f t="shared" ca="1" si="31"/>
        <v>0.66666666666666674</v>
      </c>
      <c r="K119" s="5">
        <f t="shared" ca="1" si="31"/>
        <v>0.66666666666666674</v>
      </c>
      <c r="L119" s="5">
        <f t="shared" ca="1" si="31"/>
        <v>0</v>
      </c>
      <c r="M119" s="5">
        <f t="shared" ca="1" si="31"/>
        <v>0.66666666666666674</v>
      </c>
      <c r="N119" s="5">
        <f t="shared" ca="1" si="32"/>
        <v>0</v>
      </c>
      <c r="O119" s="2">
        <f t="shared" ca="1" si="32"/>
        <v>2.666666666666667</v>
      </c>
      <c r="P119" s="2">
        <f t="shared" ca="1" si="32"/>
        <v>1.3333333333333335</v>
      </c>
      <c r="Q119" s="2">
        <f t="shared" ca="1" si="32"/>
        <v>1.3333333333333335</v>
      </c>
      <c r="R119" s="2">
        <f t="shared" ca="1" si="32"/>
        <v>1.3333333333333335</v>
      </c>
      <c r="S119" s="2">
        <f t="shared" ca="1" si="32"/>
        <v>9.3333333333333339</v>
      </c>
      <c r="T119" s="2">
        <f t="shared" ca="1" si="32"/>
        <v>0.66666666666666674</v>
      </c>
      <c r="U119" s="2">
        <f t="shared" ca="1" si="32"/>
        <v>1.3333333333333335</v>
      </c>
      <c r="V119" s="2">
        <f t="shared" ca="1" si="32"/>
        <v>2</v>
      </c>
      <c r="W119" s="2">
        <f t="shared" ca="1" si="32"/>
        <v>2</v>
      </c>
      <c r="X119" s="2">
        <f t="shared" ca="1" si="32"/>
        <v>0.66666666666666674</v>
      </c>
      <c r="Y119" s="2">
        <f t="shared" ca="1" si="32"/>
        <v>6.666666666666667</v>
      </c>
      <c r="Z119" s="3">
        <f t="shared" ca="1" si="32"/>
        <v>62.666666666666671</v>
      </c>
    </row>
    <row r="128" spans="1:30">
      <c r="G128" s="2"/>
    </row>
  </sheetData>
  <sheetCalcPr fullCalcOnLoad="1"/>
  <phoneticPr fontId="4"/>
  <pageMargins left="0.75" right="0.75" top="1" bottom="1" header="0.5" footer="0.5"/>
  <legacyDrawing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Luce+5</vt:lpstr>
      <vt:lpstr>Luce+5</vt:lpstr>
    </vt:vector>
  </TitlesOfParts>
  <Company>Southern CT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Brancazio</dc:creator>
  <cp:lastModifiedBy>Office 2008 Converter</cp:lastModifiedBy>
  <dcterms:created xsi:type="dcterms:W3CDTF">2011-09-12T20:00:42Z</dcterms:created>
  <dcterms:modified xsi:type="dcterms:W3CDTF">2011-09-28T15:47:05Z</dcterms:modified>
</cp:coreProperties>
</file>