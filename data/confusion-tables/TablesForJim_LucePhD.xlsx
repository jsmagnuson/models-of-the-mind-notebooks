
<file path=[Content_Types].xml><?xml version="1.0" encoding="utf-8"?>
<Types xmlns="http://schemas.openxmlformats.org/package/2006/content-types"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Default Extension="jpeg" ContentType="image/jpeg"/>
  <Default Extension="xml" ContentType="application/xml"/>
  <Override PartName="/xl/workbook.xml" ContentType="application/vnd.openxmlformats-officedocument.spreadsheetml.sheet.main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4.xml" ContentType="application/vnd.openxmlformats-officedocument.spreadsheetml.worksheet+xml"/>
  <Override PartName="/xl/worksheets/sheet8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calcChain.xml" ContentType="application/vnd.openxmlformats-officedocument.spreadsheetml.calcChain+xml"/>
  <Default Extension="rels" ContentType="application/vnd.openxmlformats-package.relationships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12260" yWindow="340" windowWidth="15420" windowHeight="15060" tabRatio="500" firstSheet="5" activeTab="8"/>
  </bookViews>
  <sheets>
    <sheet name="Table 3.3" sheetId="10" r:id="rId1"/>
    <sheet name="Table 3.4" sheetId="2" r:id="rId2"/>
    <sheet name="Table 3.5" sheetId="3" r:id="rId3"/>
    <sheet name="Table 3.6" sheetId="11" r:id="rId4"/>
    <sheet name="Table 3.7" sheetId="12" r:id="rId5"/>
    <sheet name="Table 3.8" sheetId="13" r:id="rId6"/>
    <sheet name="Table 3.9" sheetId="14" r:id="rId7"/>
    <sheet name="Table 3.10" sheetId="15" r:id="rId8"/>
    <sheet name="Table 3.11" sheetId="16" r:id="rId9"/>
  </sheets>
  <calcPr calcId="110304" concurrentCalc="0"/>
  <extLst>
    <ext xmlns:mx="http://schemas.microsoft.com/office/mac/excel/2008/main" uri="http://schemas.microsoft.com/office/mac/excel/2008/main">
      <mx:ArchID Flags="0"/>
    </ext>
  </extLst>
</workbook>
</file>

<file path=xl/calcChain.xml><?xml version="1.0" encoding="utf-8"?>
<calcChain xmlns="http://schemas.openxmlformats.org/spreadsheetml/2006/main">
  <c r="C28" i="15"/>
  <c r="D28"/>
  <c r="E28"/>
  <c r="F28"/>
  <c r="G28"/>
  <c r="H28"/>
  <c r="I28"/>
  <c r="J28"/>
  <c r="K28"/>
  <c r="L28"/>
  <c r="M28"/>
  <c r="N28"/>
  <c r="O28"/>
  <c r="P28"/>
  <c r="Q28"/>
  <c r="R28"/>
  <c r="S28"/>
  <c r="T28"/>
  <c r="U28"/>
  <c r="V28"/>
  <c r="W28"/>
  <c r="B28"/>
  <c r="C26"/>
  <c r="D26"/>
  <c r="E26"/>
  <c r="F26"/>
  <c r="G26"/>
  <c r="H26"/>
  <c r="I26"/>
  <c r="J26"/>
  <c r="K26"/>
  <c r="L26"/>
  <c r="M26"/>
  <c r="N26"/>
  <c r="O26"/>
  <c r="P26"/>
  <c r="Q26"/>
  <c r="R26"/>
  <c r="S26"/>
  <c r="T26"/>
  <c r="U26"/>
  <c r="V26"/>
  <c r="W26"/>
  <c r="B26"/>
  <c r="C28" i="16"/>
  <c r="D28"/>
  <c r="E28"/>
  <c r="F28"/>
  <c r="G28"/>
  <c r="H28"/>
  <c r="I28"/>
  <c r="J28"/>
  <c r="K28"/>
  <c r="L28"/>
  <c r="M28"/>
  <c r="N28"/>
  <c r="O28"/>
  <c r="P28"/>
  <c r="Q28"/>
  <c r="R28"/>
  <c r="S28"/>
  <c r="T28"/>
  <c r="U28"/>
  <c r="V28"/>
  <c r="W28"/>
  <c r="B28"/>
  <c r="C26"/>
  <c r="D26"/>
  <c r="E26"/>
  <c r="F26"/>
  <c r="G26"/>
  <c r="H26"/>
  <c r="I26"/>
  <c r="J26"/>
  <c r="K26"/>
  <c r="L26"/>
  <c r="M26"/>
  <c r="N26"/>
  <c r="O26"/>
  <c r="P26"/>
  <c r="Q26"/>
  <c r="R26"/>
  <c r="S26"/>
  <c r="T26"/>
  <c r="U26"/>
  <c r="V26"/>
  <c r="W26"/>
  <c r="B26"/>
  <c r="C29" i="10"/>
  <c r="D29"/>
  <c r="E29"/>
  <c r="F29"/>
  <c r="G29"/>
  <c r="H29"/>
  <c r="I29"/>
  <c r="J29"/>
  <c r="K29"/>
  <c r="L29"/>
  <c r="M29"/>
  <c r="N29"/>
  <c r="O29"/>
  <c r="P29"/>
  <c r="Q29"/>
  <c r="R29"/>
  <c r="S29"/>
  <c r="T29"/>
  <c r="U29"/>
  <c r="V29"/>
  <c r="W29"/>
  <c r="X29"/>
  <c r="B29"/>
  <c r="C27"/>
  <c r="D27"/>
  <c r="E27"/>
  <c r="F27"/>
  <c r="G27"/>
  <c r="H27"/>
  <c r="I27"/>
  <c r="J27"/>
  <c r="K27"/>
  <c r="L27"/>
  <c r="M27"/>
  <c r="N27"/>
  <c r="O27"/>
  <c r="P27"/>
  <c r="Q27"/>
  <c r="R27"/>
  <c r="S27"/>
  <c r="T27"/>
  <c r="U27"/>
  <c r="V27"/>
  <c r="W27"/>
  <c r="X27"/>
  <c r="B27"/>
  <c r="C29" i="2"/>
  <c r="D29"/>
  <c r="E29"/>
  <c r="F29"/>
  <c r="G29"/>
  <c r="H29"/>
  <c r="I29"/>
  <c r="J29"/>
  <c r="K29"/>
  <c r="L29"/>
  <c r="M29"/>
  <c r="N29"/>
  <c r="O27"/>
  <c r="O29"/>
  <c r="P29"/>
  <c r="Q29"/>
  <c r="R29"/>
  <c r="S29"/>
  <c r="T29"/>
  <c r="U29"/>
  <c r="V29"/>
  <c r="W29"/>
  <c r="X29"/>
  <c r="B29"/>
  <c r="C27"/>
  <c r="D27"/>
  <c r="E27"/>
  <c r="F27"/>
  <c r="G27"/>
  <c r="H27"/>
  <c r="I27"/>
  <c r="J27"/>
  <c r="K27"/>
  <c r="L27"/>
  <c r="M27"/>
  <c r="N27"/>
  <c r="P27"/>
  <c r="Q27"/>
  <c r="R27"/>
  <c r="S27"/>
  <c r="T27"/>
  <c r="U27"/>
  <c r="V27"/>
  <c r="W27"/>
  <c r="X27"/>
  <c r="B27"/>
  <c r="C29" i="3"/>
  <c r="D29"/>
  <c r="E29"/>
  <c r="F29"/>
  <c r="G29"/>
  <c r="H29"/>
  <c r="I29"/>
  <c r="J29"/>
  <c r="K29"/>
  <c r="L29"/>
  <c r="M29"/>
  <c r="N29"/>
  <c r="O29"/>
  <c r="P29"/>
  <c r="Q29"/>
  <c r="R29"/>
  <c r="S29"/>
  <c r="T29"/>
  <c r="U29"/>
  <c r="V29"/>
  <c r="W29"/>
  <c r="X29"/>
  <c r="B29"/>
  <c r="C27"/>
  <c r="D27"/>
  <c r="E27"/>
  <c r="F27"/>
  <c r="G27"/>
  <c r="H27"/>
  <c r="I27"/>
  <c r="J27"/>
  <c r="K27"/>
  <c r="L27"/>
  <c r="M27"/>
  <c r="N27"/>
  <c r="O27"/>
  <c r="P27"/>
  <c r="Q27"/>
  <c r="R27"/>
  <c r="S27"/>
  <c r="T27"/>
  <c r="U27"/>
  <c r="V27"/>
  <c r="W27"/>
  <c r="X27"/>
  <c r="B27"/>
  <c r="C21" i="11"/>
  <c r="D21"/>
  <c r="E21"/>
  <c r="F21"/>
  <c r="G21"/>
  <c r="H21"/>
  <c r="I21"/>
  <c r="J21"/>
  <c r="K21"/>
  <c r="L21"/>
  <c r="M21"/>
  <c r="N21"/>
  <c r="O21"/>
  <c r="P21"/>
  <c r="Q21"/>
  <c r="B21"/>
  <c r="B19"/>
  <c r="C19"/>
  <c r="D19"/>
  <c r="E19"/>
  <c r="F19"/>
  <c r="G19"/>
  <c r="H19"/>
  <c r="I19"/>
  <c r="J19"/>
  <c r="K19"/>
  <c r="L19"/>
  <c r="M19"/>
  <c r="N19"/>
  <c r="O19"/>
  <c r="P19"/>
  <c r="Q19"/>
  <c r="C21" i="12"/>
  <c r="D21"/>
  <c r="E21"/>
  <c r="F21"/>
  <c r="G21"/>
  <c r="H21"/>
  <c r="I21"/>
  <c r="J21"/>
  <c r="K21"/>
  <c r="L21"/>
  <c r="M21"/>
  <c r="N21"/>
  <c r="O21"/>
  <c r="P21"/>
  <c r="Q21"/>
  <c r="B21"/>
  <c r="C19"/>
  <c r="D19"/>
  <c r="E19"/>
  <c r="F19"/>
  <c r="G19"/>
  <c r="H19"/>
  <c r="I19"/>
  <c r="J19"/>
  <c r="K19"/>
  <c r="L19"/>
  <c r="M19"/>
  <c r="N19"/>
  <c r="O19"/>
  <c r="P19"/>
  <c r="Q19"/>
  <c r="B19"/>
  <c r="C21" i="13"/>
  <c r="D21"/>
  <c r="E21"/>
  <c r="F21"/>
  <c r="G21"/>
  <c r="H21"/>
  <c r="I21"/>
  <c r="J21"/>
  <c r="K21"/>
  <c r="L21"/>
  <c r="M21"/>
  <c r="N21"/>
  <c r="O21"/>
  <c r="P21"/>
  <c r="B21"/>
  <c r="C19"/>
  <c r="D19"/>
  <c r="E19"/>
  <c r="F19"/>
  <c r="G19"/>
  <c r="H19"/>
  <c r="I19"/>
  <c r="J19"/>
  <c r="K19"/>
  <c r="L19"/>
  <c r="M19"/>
  <c r="N19"/>
  <c r="O19"/>
  <c r="P19"/>
  <c r="B19"/>
  <c r="C28" i="14"/>
  <c r="D28"/>
  <c r="E28"/>
  <c r="F28"/>
  <c r="G28"/>
  <c r="H28"/>
  <c r="I28"/>
  <c r="J28"/>
  <c r="K28"/>
  <c r="L28"/>
  <c r="M28"/>
  <c r="N28"/>
  <c r="O28"/>
  <c r="P28"/>
  <c r="Q28"/>
  <c r="R28"/>
  <c r="S28"/>
  <c r="T28"/>
  <c r="U28"/>
  <c r="V28"/>
  <c r="W28"/>
  <c r="B28"/>
  <c r="C26"/>
  <c r="D26"/>
  <c r="E26"/>
  <c r="F26"/>
  <c r="G26"/>
  <c r="H26"/>
  <c r="I26"/>
  <c r="J26"/>
  <c r="K26"/>
  <c r="L26"/>
  <c r="M26"/>
  <c r="N26"/>
  <c r="O26"/>
  <c r="P26"/>
  <c r="Q26"/>
  <c r="R26"/>
  <c r="S26"/>
  <c r="T26"/>
  <c r="U26"/>
  <c r="V26"/>
  <c r="W26"/>
  <c r="B26"/>
</calcChain>
</file>

<file path=xl/sharedStrings.xml><?xml version="1.0" encoding="utf-8"?>
<sst xmlns="http://schemas.openxmlformats.org/spreadsheetml/2006/main" count="392" uniqueCount="53">
  <si>
    <t>p</t>
  </si>
  <si>
    <t>t</t>
  </si>
  <si>
    <t>k</t>
  </si>
  <si>
    <t>b</t>
  </si>
  <si>
    <t>d</t>
  </si>
  <si>
    <t>g</t>
  </si>
  <si>
    <t>C</t>
  </si>
  <si>
    <t>J</t>
  </si>
  <si>
    <t>s</t>
  </si>
  <si>
    <t>S</t>
  </si>
  <si>
    <t>z</t>
  </si>
  <si>
    <t>f</t>
  </si>
  <si>
    <t>T</t>
  </si>
  <si>
    <t>v</t>
  </si>
  <si>
    <t>D</t>
  </si>
  <si>
    <t>h</t>
  </si>
  <si>
    <t>n</t>
  </si>
  <si>
    <t>m</t>
  </si>
  <si>
    <t>l</t>
  </si>
  <si>
    <t>r</t>
  </si>
  <si>
    <t>w</t>
  </si>
  <si>
    <t>y</t>
  </si>
  <si>
    <t>XX</t>
  </si>
  <si>
    <t>error in their paper in this column somewhere</t>
  </si>
  <si>
    <t>Sum</t>
  </si>
  <si>
    <t>I</t>
  </si>
  <si>
    <t>ii</t>
  </si>
  <si>
    <t>E</t>
  </si>
  <si>
    <t>@</t>
  </si>
  <si>
    <t>a</t>
  </si>
  <si>
    <t>e</t>
  </si>
  <si>
    <t>W</t>
  </si>
  <si>
    <t>Y</t>
  </si>
  <si>
    <t>^</t>
  </si>
  <si>
    <t>c</t>
  </si>
  <si>
    <t>O</t>
  </si>
  <si>
    <t>o</t>
  </si>
  <si>
    <t>U</t>
  </si>
  <si>
    <t>u</t>
  </si>
  <si>
    <t>R</t>
  </si>
  <si>
    <t>G</t>
  </si>
  <si>
    <t>Z</t>
  </si>
  <si>
    <t>Diff</t>
  </si>
  <si>
    <t>Table 3.3</t>
  </si>
  <si>
    <t>Table 3.4</t>
  </si>
  <si>
    <t>***</t>
  </si>
  <si>
    <t>Table 3.5</t>
  </si>
  <si>
    <t>Table 3.6</t>
  </si>
  <si>
    <t>Table 3.7</t>
  </si>
  <si>
    <t>Table 3.8</t>
  </si>
  <si>
    <t>Table 3.9</t>
  </si>
  <si>
    <t>Table 3.10</t>
  </si>
  <si>
    <t>Table 3.11</t>
  </si>
</sst>
</file>

<file path=xl/styles.xml><?xml version="1.0" encoding="utf-8"?>
<styleSheet xmlns="http://schemas.openxmlformats.org/spreadsheetml/2006/main">
  <fonts count="4">
    <font>
      <sz val="10"/>
      <name val="Verdana"/>
    </font>
    <font>
      <sz val="10"/>
      <name val="Verdana"/>
    </font>
    <font>
      <b/>
      <sz val="10"/>
      <color indexed="10"/>
      <name val="Verdana"/>
    </font>
    <font>
      <sz val="8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0" fontId="0" fillId="0" borderId="0" xfId="0" quotePrefix="1" applyNumberFormat="1"/>
    <xf numFmtId="0" fontId="2" fillId="0" borderId="0" xfId="0" applyFont="1"/>
    <xf numFmtId="0" fontId="1" fillId="0" borderId="0" xfId="0" applyFont="1"/>
    <xf numFmtId="0" fontId="0" fillId="0" borderId="0" xfId="0" applyNumberFormat="1" applyFont="1" applyFill="1" applyBorder="1" applyAlignment="1" applyProtection="1"/>
    <xf numFmtId="0" fontId="0" fillId="0" borderId="0" xfId="0" applyNumberFormat="1" applyFill="1" applyBorder="1" applyAlignment="1" applyProtection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styles" Target="styles.xml"/><Relationship Id="rId12" Type="http://schemas.openxmlformats.org/officeDocument/2006/relationships/sharedStrings" Target="sharedStrings.xml"/><Relationship Id="rId13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X33"/>
  <sheetViews>
    <sheetView workbookViewId="0">
      <selection activeCell="A33" sqref="A33"/>
    </sheetView>
  </sheetViews>
  <sheetFormatPr baseColWidth="10" defaultRowHeight="13"/>
  <cols>
    <col min="1" max="24" width="3.85546875" customWidth="1"/>
  </cols>
  <sheetData>
    <row r="1" spans="1:24">
      <c r="A1" s="2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>
      <c r="A2" s="5" t="s">
        <v>0</v>
      </c>
      <c r="B2" s="5">
        <v>85</v>
      </c>
      <c r="C2" s="5">
        <v>27</v>
      </c>
      <c r="D2" s="5">
        <v>27</v>
      </c>
      <c r="E2" s="5">
        <v>3</v>
      </c>
      <c r="F2" s="5">
        <v>0</v>
      </c>
      <c r="G2" s="5">
        <v>1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1</v>
      </c>
      <c r="Q2" s="5">
        <v>6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4">
      <c r="A3" s="5" t="s">
        <v>1</v>
      </c>
      <c r="B3" s="5">
        <v>0</v>
      </c>
      <c r="C3" s="5">
        <v>145</v>
      </c>
      <c r="D3" s="5">
        <v>0</v>
      </c>
      <c r="E3" s="5">
        <v>0</v>
      </c>
      <c r="F3" s="5">
        <v>0</v>
      </c>
      <c r="G3" s="5">
        <v>2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1</v>
      </c>
      <c r="O3" s="5">
        <v>0</v>
      </c>
      <c r="P3" s="5">
        <v>0</v>
      </c>
      <c r="Q3" s="5">
        <v>1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</row>
    <row r="4" spans="1:24">
      <c r="A4" s="5" t="s">
        <v>2</v>
      </c>
      <c r="B4" s="5">
        <v>1</v>
      </c>
      <c r="C4" s="5">
        <v>3</v>
      </c>
      <c r="D4" s="5">
        <v>139</v>
      </c>
      <c r="E4" s="5">
        <v>0</v>
      </c>
      <c r="F4" s="5">
        <v>0</v>
      </c>
      <c r="G4" s="5">
        <v>0</v>
      </c>
      <c r="H4" s="5">
        <v>3</v>
      </c>
      <c r="I4" s="5">
        <v>0</v>
      </c>
      <c r="J4" s="5">
        <v>1</v>
      </c>
      <c r="K4" s="5">
        <v>0</v>
      </c>
      <c r="L4" s="5">
        <v>0</v>
      </c>
      <c r="M4" s="5">
        <v>1</v>
      </c>
      <c r="N4" s="5">
        <v>0</v>
      </c>
      <c r="O4" s="5">
        <v>1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1</v>
      </c>
    </row>
    <row r="5" spans="1:24">
      <c r="A5" s="5" t="s">
        <v>3</v>
      </c>
      <c r="B5" s="5">
        <v>1</v>
      </c>
      <c r="C5" s="5">
        <v>3</v>
      </c>
      <c r="D5" s="5">
        <v>0</v>
      </c>
      <c r="E5" s="5">
        <v>82</v>
      </c>
      <c r="F5" s="5">
        <v>13</v>
      </c>
      <c r="G5" s="5">
        <v>2</v>
      </c>
      <c r="H5" s="5">
        <v>0</v>
      </c>
      <c r="I5" s="5">
        <v>0</v>
      </c>
      <c r="J5" s="5">
        <v>1</v>
      </c>
      <c r="K5" s="5">
        <v>0</v>
      </c>
      <c r="L5" s="5">
        <v>0</v>
      </c>
      <c r="M5" s="5">
        <v>3</v>
      </c>
      <c r="N5" s="5">
        <v>9</v>
      </c>
      <c r="O5" s="5">
        <v>7</v>
      </c>
      <c r="P5" s="5">
        <v>21</v>
      </c>
      <c r="Q5" s="5">
        <v>0</v>
      </c>
      <c r="R5" s="5">
        <v>0</v>
      </c>
      <c r="S5" s="5">
        <v>0</v>
      </c>
      <c r="T5" s="5">
        <v>0</v>
      </c>
      <c r="U5" s="5">
        <v>1</v>
      </c>
      <c r="V5" s="5">
        <v>1</v>
      </c>
      <c r="W5" s="5">
        <v>0</v>
      </c>
      <c r="X5" s="5">
        <v>6</v>
      </c>
    </row>
    <row r="6" spans="1:24">
      <c r="A6" s="5" t="s">
        <v>4</v>
      </c>
      <c r="B6" s="5">
        <v>0</v>
      </c>
      <c r="C6" s="5">
        <v>0</v>
      </c>
      <c r="D6" s="5">
        <v>0</v>
      </c>
      <c r="E6" s="5">
        <v>0</v>
      </c>
      <c r="F6" s="5">
        <v>147</v>
      </c>
      <c r="G6" s="5">
        <v>1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0</v>
      </c>
      <c r="W6" s="5">
        <v>1</v>
      </c>
      <c r="X6" s="5">
        <v>0</v>
      </c>
    </row>
    <row r="7" spans="1:24">
      <c r="A7" s="5" t="s">
        <v>5</v>
      </c>
      <c r="B7" s="5">
        <v>1</v>
      </c>
      <c r="C7" s="5">
        <v>0</v>
      </c>
      <c r="D7" s="5">
        <v>0</v>
      </c>
      <c r="E7" s="5">
        <v>3</v>
      </c>
      <c r="F7" s="5">
        <v>2</v>
      </c>
      <c r="G7" s="5">
        <v>123</v>
      </c>
      <c r="H7" s="5">
        <v>0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1</v>
      </c>
      <c r="P7" s="5">
        <v>0</v>
      </c>
      <c r="Q7" s="5">
        <v>0</v>
      </c>
      <c r="R7" s="5">
        <v>0</v>
      </c>
      <c r="S7" s="5">
        <v>1</v>
      </c>
      <c r="T7" s="5">
        <v>0</v>
      </c>
      <c r="U7" s="5">
        <v>4</v>
      </c>
      <c r="V7" s="5">
        <v>2</v>
      </c>
      <c r="W7" s="5">
        <v>11</v>
      </c>
      <c r="X7" s="5">
        <v>1</v>
      </c>
    </row>
    <row r="8" spans="1:24">
      <c r="A8" s="5" t="s">
        <v>6</v>
      </c>
      <c r="B8" s="5">
        <v>0</v>
      </c>
      <c r="C8" s="5">
        <v>3</v>
      </c>
      <c r="D8" s="5">
        <v>0</v>
      </c>
      <c r="E8" s="5">
        <v>0</v>
      </c>
      <c r="F8" s="5">
        <v>0</v>
      </c>
      <c r="G8" s="5">
        <v>0</v>
      </c>
      <c r="H8" s="5">
        <v>145</v>
      </c>
      <c r="I8" s="5">
        <v>1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0</v>
      </c>
      <c r="V8" s="5">
        <v>0</v>
      </c>
      <c r="W8" s="5">
        <v>0</v>
      </c>
      <c r="X8" s="5">
        <v>0</v>
      </c>
    </row>
    <row r="9" spans="1:24">
      <c r="A9" s="5" t="s">
        <v>7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12</v>
      </c>
      <c r="H9" s="5">
        <v>4</v>
      </c>
      <c r="I9" s="5">
        <v>133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1</v>
      </c>
    </row>
    <row r="10" spans="1:24">
      <c r="A10" s="5" t="s">
        <v>8</v>
      </c>
      <c r="B10" s="5">
        <v>0</v>
      </c>
      <c r="C10" s="5">
        <v>4</v>
      </c>
      <c r="D10" s="5">
        <v>2</v>
      </c>
      <c r="E10" s="5">
        <v>0</v>
      </c>
      <c r="F10" s="5">
        <v>0</v>
      </c>
      <c r="G10" s="5">
        <v>0</v>
      </c>
      <c r="H10" s="5">
        <v>1</v>
      </c>
      <c r="I10" s="5">
        <v>0</v>
      </c>
      <c r="J10" s="5">
        <v>127</v>
      </c>
      <c r="K10" s="5">
        <v>2</v>
      </c>
      <c r="L10" s="5">
        <v>12</v>
      </c>
      <c r="M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0</v>
      </c>
      <c r="V10" s="5">
        <v>0</v>
      </c>
      <c r="W10" s="5">
        <v>0</v>
      </c>
      <c r="X10" s="5">
        <v>0</v>
      </c>
    </row>
    <row r="11" spans="1:24">
      <c r="A11" s="5" t="s">
        <v>9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24</v>
      </c>
      <c r="I11" s="5">
        <v>0</v>
      </c>
      <c r="J11" s="5">
        <v>2</v>
      </c>
      <c r="K11" s="5">
        <v>122</v>
      </c>
      <c r="L11" s="5">
        <v>1</v>
      </c>
      <c r="M11" s="5">
        <v>0</v>
      </c>
      <c r="N11" s="5">
        <v>0</v>
      </c>
      <c r="O11" s="5">
        <v>1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4">
      <c r="A12" s="5" t="s">
        <v>10</v>
      </c>
      <c r="B12" s="5">
        <v>0</v>
      </c>
      <c r="C12" s="5">
        <v>1</v>
      </c>
      <c r="D12" s="5">
        <v>0</v>
      </c>
      <c r="E12" s="5">
        <v>0</v>
      </c>
      <c r="F12" s="5">
        <v>14</v>
      </c>
      <c r="G12" s="5">
        <v>1</v>
      </c>
      <c r="H12" s="5">
        <v>2</v>
      </c>
      <c r="I12" s="5">
        <v>1</v>
      </c>
      <c r="J12" s="5">
        <v>4</v>
      </c>
      <c r="K12" s="5">
        <v>1</v>
      </c>
      <c r="L12" s="5">
        <v>114</v>
      </c>
      <c r="M12" s="5">
        <v>0</v>
      </c>
      <c r="N12" s="5">
        <v>1</v>
      </c>
      <c r="O12" s="5">
        <v>1</v>
      </c>
      <c r="P12" s="5">
        <v>7</v>
      </c>
      <c r="Q12" s="5">
        <v>0</v>
      </c>
      <c r="R12" s="5">
        <v>0</v>
      </c>
      <c r="S12" s="5">
        <v>0</v>
      </c>
      <c r="T12" s="5">
        <v>1</v>
      </c>
      <c r="U12" s="5">
        <v>0</v>
      </c>
      <c r="V12" s="5">
        <v>0</v>
      </c>
      <c r="W12" s="5">
        <v>0</v>
      </c>
      <c r="X12" s="5">
        <v>2</v>
      </c>
    </row>
    <row r="13" spans="1:24">
      <c r="A13" s="5" t="s">
        <v>11</v>
      </c>
      <c r="B13" s="5">
        <v>26</v>
      </c>
      <c r="C13" s="5">
        <v>5</v>
      </c>
      <c r="D13" s="5">
        <v>5</v>
      </c>
      <c r="E13" s="5">
        <v>13</v>
      </c>
      <c r="F13" s="5">
        <v>3</v>
      </c>
      <c r="G13" s="5">
        <v>1</v>
      </c>
      <c r="H13" s="5">
        <v>0</v>
      </c>
      <c r="I13" s="5">
        <v>0</v>
      </c>
      <c r="J13" s="5">
        <v>5</v>
      </c>
      <c r="K13" s="5">
        <v>0</v>
      </c>
      <c r="L13" s="5">
        <v>0</v>
      </c>
      <c r="M13" s="5">
        <v>66</v>
      </c>
      <c r="N13" s="5">
        <v>6</v>
      </c>
      <c r="O13" s="5">
        <v>6</v>
      </c>
      <c r="P13" s="5">
        <v>9</v>
      </c>
      <c r="Q13" s="5">
        <v>2</v>
      </c>
      <c r="R13" s="5">
        <v>0</v>
      </c>
      <c r="S13" s="5">
        <v>0</v>
      </c>
      <c r="T13" s="5">
        <v>0</v>
      </c>
      <c r="U13" s="5">
        <v>0</v>
      </c>
      <c r="V13" s="5">
        <v>2</v>
      </c>
      <c r="W13" s="5">
        <v>1</v>
      </c>
      <c r="X13" s="5">
        <v>0</v>
      </c>
    </row>
    <row r="14" spans="1:24">
      <c r="A14" s="5" t="s">
        <v>12</v>
      </c>
      <c r="B14" s="5">
        <v>14</v>
      </c>
      <c r="C14" s="5">
        <v>8</v>
      </c>
      <c r="D14" s="5">
        <v>0</v>
      </c>
      <c r="E14" s="5">
        <v>23</v>
      </c>
      <c r="F14" s="5">
        <v>2</v>
      </c>
      <c r="G14" s="5">
        <v>1</v>
      </c>
      <c r="H14" s="5">
        <v>0</v>
      </c>
      <c r="I14" s="5">
        <v>1</v>
      </c>
      <c r="J14" s="5">
        <v>4</v>
      </c>
      <c r="K14" s="5">
        <v>1</v>
      </c>
      <c r="L14" s="5">
        <v>1</v>
      </c>
      <c r="M14" s="5">
        <v>38</v>
      </c>
      <c r="N14" s="5">
        <v>28</v>
      </c>
      <c r="O14" s="5">
        <v>4</v>
      </c>
      <c r="P14" s="5">
        <v>15</v>
      </c>
      <c r="Q14" s="5">
        <v>4</v>
      </c>
      <c r="R14" s="5">
        <v>0</v>
      </c>
      <c r="S14" s="5">
        <v>0</v>
      </c>
      <c r="T14" s="5">
        <v>0</v>
      </c>
      <c r="U14" s="5">
        <v>0</v>
      </c>
      <c r="V14" s="5">
        <v>3</v>
      </c>
      <c r="W14" s="5">
        <v>1</v>
      </c>
      <c r="X14" s="5">
        <v>2</v>
      </c>
    </row>
    <row r="15" spans="1:24">
      <c r="A15" s="5" t="s">
        <v>13</v>
      </c>
      <c r="B15" s="5">
        <v>0</v>
      </c>
      <c r="C15" s="5">
        <v>2</v>
      </c>
      <c r="D15" s="5">
        <v>0</v>
      </c>
      <c r="E15" s="5">
        <v>15</v>
      </c>
      <c r="F15" s="5">
        <v>5</v>
      </c>
      <c r="G15" s="5">
        <v>5</v>
      </c>
      <c r="H15" s="5">
        <v>0</v>
      </c>
      <c r="I15" s="5">
        <v>0</v>
      </c>
      <c r="J15" s="5">
        <v>1</v>
      </c>
      <c r="K15" s="5">
        <v>0</v>
      </c>
      <c r="L15" s="5">
        <v>0</v>
      </c>
      <c r="M15" s="5">
        <v>0</v>
      </c>
      <c r="N15" s="5">
        <v>17</v>
      </c>
      <c r="O15" s="5">
        <v>51</v>
      </c>
      <c r="P15" s="5">
        <v>46</v>
      </c>
      <c r="Q15" s="5">
        <v>0</v>
      </c>
      <c r="R15" s="5">
        <v>0</v>
      </c>
      <c r="S15" s="5">
        <v>1</v>
      </c>
      <c r="T15" s="5">
        <v>2</v>
      </c>
      <c r="U15" s="5">
        <v>3</v>
      </c>
      <c r="V15" s="5">
        <v>1</v>
      </c>
      <c r="W15" s="5">
        <v>0</v>
      </c>
      <c r="X15" s="5">
        <v>1</v>
      </c>
    </row>
    <row r="16" spans="1:24">
      <c r="A16" s="5" t="s">
        <v>14</v>
      </c>
      <c r="B16" s="5">
        <v>0</v>
      </c>
      <c r="C16" s="5">
        <v>3</v>
      </c>
      <c r="D16" s="5">
        <v>26</v>
      </c>
      <c r="E16" s="5">
        <v>6</v>
      </c>
      <c r="F16" s="5">
        <v>17</v>
      </c>
      <c r="G16" s="5">
        <v>4</v>
      </c>
      <c r="H16" s="5">
        <v>0</v>
      </c>
      <c r="I16" s="5">
        <v>0</v>
      </c>
      <c r="J16" s="5">
        <v>1</v>
      </c>
      <c r="K16" s="5">
        <v>0</v>
      </c>
      <c r="L16" s="5">
        <v>5</v>
      </c>
      <c r="M16" s="5">
        <v>0</v>
      </c>
      <c r="N16" s="5">
        <v>21</v>
      </c>
      <c r="O16" s="5">
        <v>14</v>
      </c>
      <c r="P16" s="5">
        <v>76</v>
      </c>
      <c r="Q16" s="5">
        <v>0</v>
      </c>
      <c r="R16" s="5">
        <v>1</v>
      </c>
      <c r="S16" s="5">
        <v>0</v>
      </c>
      <c r="T16" s="5">
        <v>1</v>
      </c>
      <c r="U16" s="5">
        <v>0</v>
      </c>
      <c r="V16" s="5">
        <v>0</v>
      </c>
      <c r="W16" s="5">
        <v>0</v>
      </c>
      <c r="X16" s="5">
        <v>1</v>
      </c>
    </row>
    <row r="17" spans="1:24">
      <c r="A17" s="5" t="s">
        <v>15</v>
      </c>
      <c r="B17" s="5">
        <v>49</v>
      </c>
      <c r="C17" s="5">
        <v>23</v>
      </c>
      <c r="D17" s="5">
        <v>0</v>
      </c>
      <c r="E17" s="5">
        <v>3</v>
      </c>
      <c r="F17" s="5">
        <v>0</v>
      </c>
      <c r="G17" s="5">
        <v>0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6</v>
      </c>
      <c r="N17" s="5">
        <v>0</v>
      </c>
      <c r="O17" s="5">
        <v>0</v>
      </c>
      <c r="P17" s="5">
        <v>0</v>
      </c>
      <c r="Q17" s="5">
        <v>30</v>
      </c>
      <c r="R17" s="5">
        <v>0</v>
      </c>
      <c r="S17" s="5">
        <v>0</v>
      </c>
      <c r="T17" s="5">
        <v>0</v>
      </c>
      <c r="U17" s="5">
        <v>0</v>
      </c>
      <c r="V17" s="5">
        <v>1</v>
      </c>
      <c r="W17" s="5">
        <v>0</v>
      </c>
      <c r="X17" s="5">
        <v>11</v>
      </c>
    </row>
    <row r="18" spans="1:24">
      <c r="A18" s="5" t="s">
        <v>16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1</v>
      </c>
      <c r="P18" s="5">
        <v>0</v>
      </c>
      <c r="Q18" s="5">
        <v>0</v>
      </c>
      <c r="R18" s="5">
        <v>135</v>
      </c>
      <c r="S18" s="5">
        <v>12</v>
      </c>
      <c r="T18" s="5">
        <v>1</v>
      </c>
      <c r="U18" s="5">
        <v>1</v>
      </c>
      <c r="V18" s="5">
        <v>0</v>
      </c>
      <c r="W18" s="5">
        <v>0</v>
      </c>
      <c r="X18" s="5">
        <v>0</v>
      </c>
    </row>
    <row r="19" spans="1:24">
      <c r="A19" s="5" t="s">
        <v>17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1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</v>
      </c>
      <c r="Q19" s="5">
        <v>0</v>
      </c>
      <c r="R19" s="5">
        <v>4</v>
      </c>
      <c r="S19" s="5">
        <v>142</v>
      </c>
      <c r="T19" s="5">
        <v>2</v>
      </c>
      <c r="U19" s="5">
        <v>0</v>
      </c>
      <c r="V19" s="5">
        <v>0</v>
      </c>
      <c r="W19" s="5">
        <v>0</v>
      </c>
      <c r="X19" s="5">
        <v>0</v>
      </c>
    </row>
    <row r="20" spans="1:24">
      <c r="A20" s="5" t="s">
        <v>18</v>
      </c>
      <c r="B20" s="5">
        <v>2</v>
      </c>
      <c r="C20" s="5">
        <v>0</v>
      </c>
      <c r="D20" s="5">
        <v>0</v>
      </c>
      <c r="E20" s="5">
        <v>10</v>
      </c>
      <c r="F20" s="5">
        <v>1</v>
      </c>
      <c r="G20" s="5">
        <v>3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1</v>
      </c>
      <c r="N20" s="5">
        <v>0</v>
      </c>
      <c r="O20" s="5">
        <v>3</v>
      </c>
      <c r="P20" s="5">
        <v>1</v>
      </c>
      <c r="Q20" s="5">
        <v>0</v>
      </c>
      <c r="R20" s="5">
        <v>0</v>
      </c>
      <c r="S20" s="5">
        <v>3</v>
      </c>
      <c r="T20" s="5">
        <v>121</v>
      </c>
      <c r="U20" s="5">
        <v>1</v>
      </c>
      <c r="V20" s="5">
        <v>3</v>
      </c>
      <c r="W20" s="5">
        <v>0</v>
      </c>
      <c r="X20" s="5">
        <v>1</v>
      </c>
    </row>
    <row r="21" spans="1:24">
      <c r="A21" s="5" t="s">
        <v>19</v>
      </c>
      <c r="B21" s="5">
        <v>0</v>
      </c>
      <c r="C21" s="5">
        <v>1</v>
      </c>
      <c r="D21" s="5">
        <v>0</v>
      </c>
      <c r="E21" s="5">
        <v>0</v>
      </c>
      <c r="F21" s="5">
        <v>0</v>
      </c>
      <c r="G21" s="5">
        <v>5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1</v>
      </c>
      <c r="O21" s="5">
        <v>0</v>
      </c>
      <c r="P21" s="5">
        <v>1</v>
      </c>
      <c r="Q21" s="5">
        <v>0</v>
      </c>
      <c r="R21" s="5">
        <v>1</v>
      </c>
      <c r="S21" s="5">
        <v>0</v>
      </c>
      <c r="T21" s="5">
        <v>23</v>
      </c>
      <c r="U21" s="5">
        <v>105</v>
      </c>
      <c r="V21" s="5">
        <v>12</v>
      </c>
      <c r="W21" s="5">
        <v>1</v>
      </c>
      <c r="X21" s="5">
        <v>0</v>
      </c>
    </row>
    <row r="22" spans="1:24">
      <c r="A22" s="5" t="s">
        <v>20</v>
      </c>
      <c r="B22" s="5">
        <v>2</v>
      </c>
      <c r="C22" s="5">
        <v>1</v>
      </c>
      <c r="D22" s="5">
        <v>0</v>
      </c>
      <c r="E22" s="5">
        <v>1</v>
      </c>
      <c r="F22" s="5">
        <v>0</v>
      </c>
      <c r="G22" s="5">
        <v>4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1</v>
      </c>
      <c r="S22" s="5">
        <v>0</v>
      </c>
      <c r="T22" s="5">
        <v>16</v>
      </c>
      <c r="U22" s="5">
        <v>33</v>
      </c>
      <c r="V22" s="5">
        <v>86</v>
      </c>
      <c r="W22" s="5">
        <v>5</v>
      </c>
      <c r="X22" s="5">
        <v>0</v>
      </c>
    </row>
    <row r="23" spans="1:24">
      <c r="A23" s="5" t="s">
        <v>21</v>
      </c>
      <c r="B23" s="5">
        <v>2</v>
      </c>
      <c r="C23" s="5">
        <v>0</v>
      </c>
      <c r="D23" s="5">
        <v>0</v>
      </c>
      <c r="E23" s="5">
        <v>1</v>
      </c>
      <c r="F23" s="5">
        <v>0</v>
      </c>
      <c r="G23" s="5">
        <v>2</v>
      </c>
      <c r="H23" s="5">
        <v>0</v>
      </c>
      <c r="I23" s="5">
        <v>1</v>
      </c>
      <c r="J23" s="5">
        <v>0</v>
      </c>
      <c r="K23" s="5">
        <v>0</v>
      </c>
      <c r="L23" s="5">
        <v>0</v>
      </c>
      <c r="M23" s="5">
        <v>0</v>
      </c>
      <c r="N23" s="5">
        <v>1</v>
      </c>
      <c r="O23" s="5">
        <v>0</v>
      </c>
      <c r="P23" s="5">
        <v>0</v>
      </c>
      <c r="Q23" s="5">
        <v>1</v>
      </c>
      <c r="R23" s="5">
        <v>1</v>
      </c>
      <c r="S23" s="5">
        <v>1</v>
      </c>
      <c r="T23" s="5">
        <v>2</v>
      </c>
      <c r="U23" s="5">
        <v>6</v>
      </c>
      <c r="V23" s="5">
        <v>1</v>
      </c>
      <c r="W23" s="5">
        <v>128</v>
      </c>
      <c r="X23" s="5">
        <v>3</v>
      </c>
    </row>
    <row r="24" spans="1:24">
      <c r="A24" s="6" t="s">
        <v>22</v>
      </c>
      <c r="B24" s="5">
        <v>5</v>
      </c>
      <c r="C24" s="5">
        <v>7</v>
      </c>
      <c r="D24" s="5">
        <v>2</v>
      </c>
      <c r="E24" s="5">
        <v>6</v>
      </c>
      <c r="F24" s="5">
        <v>0</v>
      </c>
      <c r="G24" s="5">
        <v>0</v>
      </c>
      <c r="H24" s="5">
        <v>0</v>
      </c>
      <c r="I24" s="5">
        <v>0</v>
      </c>
      <c r="J24" s="5">
        <v>1</v>
      </c>
      <c r="K24" s="5">
        <v>0</v>
      </c>
      <c r="L24" s="5">
        <v>1</v>
      </c>
      <c r="M24" s="5">
        <v>4</v>
      </c>
      <c r="N24" s="5">
        <v>2</v>
      </c>
      <c r="O24" s="5">
        <v>1</v>
      </c>
      <c r="P24" s="5">
        <v>0</v>
      </c>
      <c r="Q24" s="5">
        <v>7</v>
      </c>
      <c r="R24" s="5">
        <v>0</v>
      </c>
      <c r="S24" s="5">
        <v>1</v>
      </c>
      <c r="T24" s="5">
        <v>3</v>
      </c>
      <c r="U24" s="5">
        <v>2</v>
      </c>
      <c r="V24" s="5">
        <v>0</v>
      </c>
      <c r="W24" s="5">
        <v>0</v>
      </c>
      <c r="X24" s="5">
        <v>108</v>
      </c>
    </row>
    <row r="25" spans="1:24">
      <c r="A25" s="5"/>
      <c r="B25" s="5">
        <v>188</v>
      </c>
      <c r="C25" s="5">
        <v>236</v>
      </c>
      <c r="D25" s="5">
        <v>201</v>
      </c>
      <c r="E25" s="5">
        <v>166</v>
      </c>
      <c r="F25" s="5">
        <v>204</v>
      </c>
      <c r="G25" s="5">
        <v>167</v>
      </c>
      <c r="H25" s="5">
        <v>181</v>
      </c>
      <c r="I25" s="5">
        <v>138</v>
      </c>
      <c r="J25" s="5">
        <v>148</v>
      </c>
      <c r="K25" s="5">
        <v>126</v>
      </c>
      <c r="L25" s="5">
        <v>134</v>
      </c>
      <c r="M25" s="5">
        <v>121</v>
      </c>
      <c r="N25" s="5">
        <v>87</v>
      </c>
      <c r="O25" s="5">
        <v>91</v>
      </c>
      <c r="P25" s="5">
        <v>178</v>
      </c>
      <c r="Q25" s="5">
        <v>51</v>
      </c>
      <c r="R25" s="5">
        <v>143</v>
      </c>
      <c r="S25" s="5">
        <v>161</v>
      </c>
      <c r="T25" s="5">
        <v>174</v>
      </c>
      <c r="U25" s="5">
        <v>157</v>
      </c>
      <c r="V25" s="5">
        <v>112</v>
      </c>
      <c r="W25" s="5">
        <v>148</v>
      </c>
      <c r="X25" s="5">
        <v>138</v>
      </c>
    </row>
    <row r="27" spans="1:24">
      <c r="A27" t="s">
        <v>24</v>
      </c>
      <c r="B27">
        <f>SUM(B2:B24)</f>
        <v>188</v>
      </c>
      <c r="C27">
        <f t="shared" ref="C27:X27" si="0">SUM(C2:C24)</f>
        <v>236</v>
      </c>
      <c r="D27">
        <f t="shared" si="0"/>
        <v>201</v>
      </c>
      <c r="E27">
        <f t="shared" si="0"/>
        <v>166</v>
      </c>
      <c r="F27">
        <f t="shared" si="0"/>
        <v>204</v>
      </c>
      <c r="G27">
        <f t="shared" si="0"/>
        <v>167</v>
      </c>
      <c r="H27">
        <f t="shared" si="0"/>
        <v>181</v>
      </c>
      <c r="I27">
        <f t="shared" si="0"/>
        <v>138</v>
      </c>
      <c r="J27">
        <f t="shared" si="0"/>
        <v>148</v>
      </c>
      <c r="K27">
        <f t="shared" si="0"/>
        <v>126</v>
      </c>
      <c r="L27">
        <f t="shared" si="0"/>
        <v>134</v>
      </c>
      <c r="M27">
        <f t="shared" si="0"/>
        <v>121</v>
      </c>
      <c r="N27">
        <f t="shared" si="0"/>
        <v>87</v>
      </c>
      <c r="O27">
        <f t="shared" si="0"/>
        <v>91</v>
      </c>
      <c r="P27">
        <f t="shared" si="0"/>
        <v>178</v>
      </c>
      <c r="Q27">
        <f t="shared" si="0"/>
        <v>51</v>
      </c>
      <c r="R27">
        <f t="shared" si="0"/>
        <v>143</v>
      </c>
      <c r="S27">
        <f t="shared" si="0"/>
        <v>161</v>
      </c>
      <c r="T27">
        <f t="shared" si="0"/>
        <v>174</v>
      </c>
      <c r="U27">
        <f t="shared" si="0"/>
        <v>157</v>
      </c>
      <c r="V27">
        <f t="shared" si="0"/>
        <v>112</v>
      </c>
      <c r="W27">
        <f t="shared" si="0"/>
        <v>148</v>
      </c>
      <c r="X27">
        <f t="shared" si="0"/>
        <v>138</v>
      </c>
    </row>
    <row r="29" spans="1:24">
      <c r="A29" t="s">
        <v>42</v>
      </c>
      <c r="B29">
        <f>B27-B25</f>
        <v>0</v>
      </c>
      <c r="C29">
        <f t="shared" ref="C29:X29" si="1">C27-C25</f>
        <v>0</v>
      </c>
      <c r="D29">
        <f t="shared" si="1"/>
        <v>0</v>
      </c>
      <c r="E29">
        <f t="shared" si="1"/>
        <v>0</v>
      </c>
      <c r="F29">
        <f t="shared" si="1"/>
        <v>0</v>
      </c>
      <c r="G29">
        <f t="shared" si="1"/>
        <v>0</v>
      </c>
      <c r="H29">
        <f t="shared" si="1"/>
        <v>0</v>
      </c>
      <c r="I29">
        <f t="shared" si="1"/>
        <v>0</v>
      </c>
      <c r="J29">
        <f t="shared" si="1"/>
        <v>0</v>
      </c>
      <c r="K29">
        <f t="shared" si="1"/>
        <v>0</v>
      </c>
      <c r="L29">
        <f t="shared" si="1"/>
        <v>0</v>
      </c>
      <c r="M29">
        <f t="shared" si="1"/>
        <v>0</v>
      </c>
      <c r="N29">
        <f t="shared" si="1"/>
        <v>0</v>
      </c>
      <c r="O29">
        <f t="shared" si="1"/>
        <v>0</v>
      </c>
      <c r="P29">
        <f t="shared" si="1"/>
        <v>0</v>
      </c>
      <c r="Q29">
        <f t="shared" si="1"/>
        <v>0</v>
      </c>
      <c r="R29">
        <f t="shared" si="1"/>
        <v>0</v>
      </c>
      <c r="S29">
        <f t="shared" si="1"/>
        <v>0</v>
      </c>
      <c r="T29">
        <f t="shared" si="1"/>
        <v>0</v>
      </c>
      <c r="U29">
        <f t="shared" si="1"/>
        <v>0</v>
      </c>
      <c r="V29">
        <f t="shared" si="1"/>
        <v>0</v>
      </c>
      <c r="W29">
        <f t="shared" si="1"/>
        <v>0</v>
      </c>
      <c r="X29">
        <f t="shared" si="1"/>
        <v>0</v>
      </c>
    </row>
    <row r="33" spans="1:1">
      <c r="A33" t="s">
        <v>43</v>
      </c>
    </row>
  </sheetData>
  <sheetCalcPr fullCalcOnLoad="1"/>
  <dataValidations count="1">
    <dataValidation allowBlank="1" showInputMessage="1" showErrorMessage="1" sqref="A2:X25"/>
  </dataValidations>
  <pageMargins left="0.75" right="0.75" top="1" bottom="1" header="0.5" footer="0.5"/>
  <pageSetup orientation="landscape" horizontalDpi="4294967292" verticalDpi="429496729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X33"/>
  <sheetViews>
    <sheetView workbookViewId="0">
      <selection activeCell="O29" sqref="O29"/>
    </sheetView>
  </sheetViews>
  <sheetFormatPr baseColWidth="10" defaultRowHeight="13"/>
  <cols>
    <col min="1" max="1" width="3" customWidth="1"/>
    <col min="2" max="24" width="4.140625" customWidth="1"/>
  </cols>
  <sheetData>
    <row r="1" spans="1:24">
      <c r="A1" s="2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>
      <c r="A2" t="s">
        <v>0</v>
      </c>
      <c r="B2">
        <v>40</v>
      </c>
      <c r="C2">
        <v>55</v>
      </c>
      <c r="D2">
        <v>30</v>
      </c>
      <c r="E2">
        <v>2</v>
      </c>
      <c r="F2">
        <v>0</v>
      </c>
      <c r="G2">
        <v>0</v>
      </c>
      <c r="H2">
        <v>1</v>
      </c>
      <c r="I2">
        <v>0</v>
      </c>
      <c r="J2">
        <v>1</v>
      </c>
      <c r="K2">
        <v>0</v>
      </c>
      <c r="L2">
        <v>0</v>
      </c>
      <c r="M2">
        <v>5</v>
      </c>
      <c r="N2">
        <v>1</v>
      </c>
      <c r="O2">
        <v>3</v>
      </c>
      <c r="P2">
        <v>0</v>
      </c>
      <c r="Q2">
        <v>5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6</v>
      </c>
    </row>
    <row r="3" spans="1:24">
      <c r="A3" t="s">
        <v>1</v>
      </c>
      <c r="B3">
        <v>4</v>
      </c>
      <c r="C3">
        <v>103</v>
      </c>
      <c r="D3">
        <v>24</v>
      </c>
      <c r="E3">
        <v>0</v>
      </c>
      <c r="F3">
        <v>3</v>
      </c>
      <c r="G3">
        <v>0</v>
      </c>
      <c r="H3">
        <v>3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2</v>
      </c>
      <c r="Q3">
        <v>1</v>
      </c>
      <c r="R3">
        <v>0</v>
      </c>
      <c r="S3">
        <v>1</v>
      </c>
      <c r="T3">
        <v>0</v>
      </c>
      <c r="U3">
        <v>3</v>
      </c>
      <c r="V3">
        <v>0</v>
      </c>
      <c r="W3">
        <v>0</v>
      </c>
      <c r="X3">
        <v>4</v>
      </c>
    </row>
    <row r="4" spans="1:24">
      <c r="A4" t="s">
        <v>2</v>
      </c>
      <c r="B4">
        <v>12</v>
      </c>
      <c r="C4">
        <v>20</v>
      </c>
      <c r="D4">
        <v>102</v>
      </c>
      <c r="E4">
        <v>4</v>
      </c>
      <c r="F4">
        <v>1</v>
      </c>
      <c r="G4">
        <v>0</v>
      </c>
      <c r="H4">
        <v>4</v>
      </c>
      <c r="I4">
        <v>1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1</v>
      </c>
      <c r="R4">
        <v>0</v>
      </c>
      <c r="S4">
        <v>0</v>
      </c>
      <c r="T4">
        <v>0</v>
      </c>
      <c r="U4">
        <v>1</v>
      </c>
      <c r="V4">
        <v>0</v>
      </c>
      <c r="W4">
        <v>0</v>
      </c>
      <c r="X4">
        <v>3</v>
      </c>
    </row>
    <row r="5" spans="1:24">
      <c r="A5" t="s">
        <v>3</v>
      </c>
      <c r="B5">
        <v>9</v>
      </c>
      <c r="C5">
        <v>6</v>
      </c>
      <c r="D5">
        <v>7</v>
      </c>
      <c r="E5">
        <v>39</v>
      </c>
      <c r="F5">
        <v>30</v>
      </c>
      <c r="G5">
        <v>10</v>
      </c>
      <c r="H5">
        <v>1</v>
      </c>
      <c r="I5">
        <v>1</v>
      </c>
      <c r="J5">
        <v>2</v>
      </c>
      <c r="K5">
        <v>0</v>
      </c>
      <c r="L5">
        <v>0</v>
      </c>
      <c r="M5">
        <v>11</v>
      </c>
      <c r="N5">
        <v>3</v>
      </c>
      <c r="O5">
        <v>9</v>
      </c>
      <c r="P5">
        <v>12</v>
      </c>
      <c r="Q5">
        <v>0</v>
      </c>
      <c r="R5">
        <v>0</v>
      </c>
      <c r="S5">
        <v>0</v>
      </c>
      <c r="T5">
        <v>3</v>
      </c>
      <c r="U5">
        <v>1</v>
      </c>
      <c r="V5">
        <v>1</v>
      </c>
      <c r="W5">
        <v>1</v>
      </c>
      <c r="X5">
        <v>4</v>
      </c>
    </row>
    <row r="6" spans="1:24">
      <c r="A6" t="s">
        <v>4</v>
      </c>
      <c r="B6">
        <v>1</v>
      </c>
      <c r="C6">
        <v>6</v>
      </c>
      <c r="D6">
        <v>0</v>
      </c>
      <c r="E6">
        <v>4</v>
      </c>
      <c r="F6">
        <v>114</v>
      </c>
      <c r="G6">
        <v>5</v>
      </c>
      <c r="H6">
        <v>2</v>
      </c>
      <c r="I6">
        <v>3</v>
      </c>
      <c r="J6">
        <v>3</v>
      </c>
      <c r="K6">
        <v>0</v>
      </c>
      <c r="L6">
        <v>1</v>
      </c>
      <c r="M6">
        <v>1</v>
      </c>
      <c r="N6">
        <v>5</v>
      </c>
      <c r="O6">
        <v>0</v>
      </c>
      <c r="P6">
        <v>4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</v>
      </c>
    </row>
    <row r="7" spans="1:24">
      <c r="A7" t="s">
        <v>5</v>
      </c>
      <c r="B7">
        <v>1</v>
      </c>
      <c r="C7">
        <v>0</v>
      </c>
      <c r="D7">
        <v>1</v>
      </c>
      <c r="E7">
        <v>7</v>
      </c>
      <c r="F7">
        <v>21</v>
      </c>
      <c r="G7">
        <v>74</v>
      </c>
      <c r="H7">
        <v>0</v>
      </c>
      <c r="I7">
        <v>3</v>
      </c>
      <c r="J7">
        <v>3</v>
      </c>
      <c r="K7">
        <v>0</v>
      </c>
      <c r="L7">
        <v>0</v>
      </c>
      <c r="M7">
        <v>1</v>
      </c>
      <c r="N7">
        <v>0</v>
      </c>
      <c r="O7">
        <v>8</v>
      </c>
      <c r="P7">
        <v>1</v>
      </c>
      <c r="Q7">
        <v>2</v>
      </c>
      <c r="R7">
        <v>0</v>
      </c>
      <c r="S7">
        <v>0</v>
      </c>
      <c r="T7">
        <v>0</v>
      </c>
      <c r="U7">
        <v>2</v>
      </c>
      <c r="V7">
        <v>5</v>
      </c>
      <c r="W7">
        <v>17</v>
      </c>
      <c r="X7">
        <v>4</v>
      </c>
    </row>
    <row r="8" spans="1:24">
      <c r="A8" t="s">
        <v>6</v>
      </c>
      <c r="B8">
        <v>0</v>
      </c>
      <c r="C8">
        <v>7</v>
      </c>
      <c r="D8">
        <v>1</v>
      </c>
      <c r="E8">
        <v>0</v>
      </c>
      <c r="F8">
        <v>0</v>
      </c>
      <c r="G8">
        <v>0</v>
      </c>
      <c r="H8">
        <v>138</v>
      </c>
      <c r="I8">
        <v>0</v>
      </c>
      <c r="J8">
        <v>0</v>
      </c>
      <c r="K8">
        <v>2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</row>
    <row r="9" spans="1:24">
      <c r="A9" t="s">
        <v>7</v>
      </c>
      <c r="B9">
        <v>0</v>
      </c>
      <c r="C9">
        <v>1</v>
      </c>
      <c r="D9">
        <v>0</v>
      </c>
      <c r="E9">
        <v>0</v>
      </c>
      <c r="F9">
        <v>3</v>
      </c>
      <c r="G9">
        <v>10</v>
      </c>
      <c r="H9">
        <v>4</v>
      </c>
      <c r="I9">
        <v>130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</row>
    <row r="10" spans="1:24">
      <c r="A10" t="s">
        <v>8</v>
      </c>
      <c r="B10">
        <v>3</v>
      </c>
      <c r="C10">
        <v>18</v>
      </c>
      <c r="D10">
        <v>1</v>
      </c>
      <c r="E10">
        <v>3</v>
      </c>
      <c r="F10">
        <v>7</v>
      </c>
      <c r="G10">
        <v>0</v>
      </c>
      <c r="H10">
        <v>9</v>
      </c>
      <c r="I10">
        <v>3</v>
      </c>
      <c r="J10">
        <v>55</v>
      </c>
      <c r="K10">
        <v>1</v>
      </c>
      <c r="L10">
        <v>16</v>
      </c>
      <c r="M10">
        <v>11</v>
      </c>
      <c r="N10">
        <v>13</v>
      </c>
      <c r="O10">
        <v>0</v>
      </c>
      <c r="P10">
        <v>7</v>
      </c>
      <c r="Q10">
        <v>0</v>
      </c>
      <c r="R10">
        <v>1</v>
      </c>
      <c r="S10">
        <v>1</v>
      </c>
      <c r="T10">
        <v>0</v>
      </c>
      <c r="U10">
        <v>0</v>
      </c>
      <c r="V10">
        <v>0</v>
      </c>
      <c r="W10">
        <v>1</v>
      </c>
      <c r="X10">
        <v>0</v>
      </c>
    </row>
    <row r="11" spans="1:24">
      <c r="A11" t="s">
        <v>9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80</v>
      </c>
      <c r="I11">
        <v>3</v>
      </c>
      <c r="J11">
        <v>2</v>
      </c>
      <c r="K11">
        <v>62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</v>
      </c>
    </row>
    <row r="12" spans="1:24">
      <c r="A12" t="s">
        <v>10</v>
      </c>
      <c r="B12">
        <v>0</v>
      </c>
      <c r="C12">
        <v>1</v>
      </c>
      <c r="D12">
        <v>1</v>
      </c>
      <c r="E12">
        <v>2</v>
      </c>
      <c r="F12">
        <v>24</v>
      </c>
      <c r="G12">
        <v>15</v>
      </c>
      <c r="H12">
        <v>0</v>
      </c>
      <c r="I12">
        <v>4</v>
      </c>
      <c r="J12">
        <v>9</v>
      </c>
      <c r="K12">
        <v>0</v>
      </c>
      <c r="L12">
        <v>45</v>
      </c>
      <c r="M12">
        <v>0</v>
      </c>
      <c r="N12">
        <v>12</v>
      </c>
      <c r="O12">
        <v>9</v>
      </c>
      <c r="P12">
        <v>21</v>
      </c>
      <c r="Q12">
        <v>0</v>
      </c>
      <c r="R12">
        <v>0</v>
      </c>
      <c r="S12">
        <v>0</v>
      </c>
      <c r="T12">
        <v>1</v>
      </c>
      <c r="U12">
        <v>3</v>
      </c>
      <c r="V12">
        <v>1</v>
      </c>
      <c r="W12">
        <v>2</v>
      </c>
      <c r="X12">
        <v>0</v>
      </c>
    </row>
    <row r="13" spans="1:24">
      <c r="A13" t="s">
        <v>11</v>
      </c>
      <c r="B13">
        <v>14</v>
      </c>
      <c r="C13">
        <v>16</v>
      </c>
      <c r="D13">
        <v>9</v>
      </c>
      <c r="E13">
        <v>12</v>
      </c>
      <c r="F13">
        <v>2</v>
      </c>
      <c r="G13">
        <v>1</v>
      </c>
      <c r="H13">
        <v>5</v>
      </c>
      <c r="I13">
        <v>0</v>
      </c>
      <c r="J13">
        <v>11</v>
      </c>
      <c r="K13">
        <v>0</v>
      </c>
      <c r="L13">
        <v>4</v>
      </c>
      <c r="M13">
        <v>54</v>
      </c>
      <c r="N13">
        <v>9</v>
      </c>
      <c r="O13">
        <v>3</v>
      </c>
      <c r="P13">
        <v>6</v>
      </c>
      <c r="Q13">
        <v>1</v>
      </c>
      <c r="R13">
        <v>0</v>
      </c>
      <c r="S13">
        <v>1</v>
      </c>
      <c r="T13">
        <v>1</v>
      </c>
      <c r="U13">
        <v>0</v>
      </c>
      <c r="V13">
        <v>0</v>
      </c>
      <c r="W13">
        <v>0</v>
      </c>
      <c r="X13">
        <v>1</v>
      </c>
    </row>
    <row r="14" spans="1:24">
      <c r="A14" t="s">
        <v>12</v>
      </c>
      <c r="B14">
        <v>11</v>
      </c>
      <c r="C14">
        <v>18</v>
      </c>
      <c r="D14">
        <v>7</v>
      </c>
      <c r="E14">
        <v>11</v>
      </c>
      <c r="F14">
        <v>6</v>
      </c>
      <c r="G14">
        <v>5</v>
      </c>
      <c r="H14">
        <v>2</v>
      </c>
      <c r="I14">
        <v>0</v>
      </c>
      <c r="J14">
        <v>12</v>
      </c>
      <c r="K14">
        <v>0</v>
      </c>
      <c r="L14">
        <v>2</v>
      </c>
      <c r="M14">
        <v>36</v>
      </c>
      <c r="N14">
        <v>20</v>
      </c>
      <c r="O14">
        <v>4</v>
      </c>
      <c r="P14">
        <v>10</v>
      </c>
      <c r="Q14">
        <v>3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2</v>
      </c>
    </row>
    <row r="15" spans="1:24">
      <c r="A15" t="s">
        <v>13</v>
      </c>
      <c r="B15">
        <v>1</v>
      </c>
      <c r="C15">
        <v>2</v>
      </c>
      <c r="D15">
        <v>1</v>
      </c>
      <c r="E15">
        <v>17</v>
      </c>
      <c r="F15">
        <v>15</v>
      </c>
      <c r="G15">
        <v>7</v>
      </c>
      <c r="H15">
        <v>0</v>
      </c>
      <c r="I15">
        <v>0</v>
      </c>
      <c r="J15">
        <v>0</v>
      </c>
      <c r="K15">
        <v>1</v>
      </c>
      <c r="L15">
        <v>3</v>
      </c>
      <c r="M15">
        <v>4</v>
      </c>
      <c r="N15">
        <v>17</v>
      </c>
      <c r="O15">
        <v>34</v>
      </c>
      <c r="P15">
        <v>31</v>
      </c>
      <c r="Q15">
        <v>0</v>
      </c>
      <c r="R15">
        <v>1</v>
      </c>
      <c r="S15">
        <v>1</v>
      </c>
      <c r="T15">
        <v>9</v>
      </c>
      <c r="U15">
        <v>2</v>
      </c>
      <c r="V15">
        <v>2</v>
      </c>
      <c r="W15">
        <v>0</v>
      </c>
      <c r="X15">
        <v>2</v>
      </c>
    </row>
    <row r="16" spans="1:24">
      <c r="A16" t="s">
        <v>14</v>
      </c>
      <c r="B16">
        <v>4</v>
      </c>
      <c r="C16">
        <v>2</v>
      </c>
      <c r="D16">
        <v>2</v>
      </c>
      <c r="E16">
        <v>6</v>
      </c>
      <c r="F16">
        <v>12</v>
      </c>
      <c r="G16">
        <v>7</v>
      </c>
      <c r="H16">
        <v>3</v>
      </c>
      <c r="I16">
        <v>0</v>
      </c>
      <c r="J16">
        <v>4</v>
      </c>
      <c r="K16">
        <v>1</v>
      </c>
      <c r="L16">
        <v>14</v>
      </c>
      <c r="M16">
        <v>2</v>
      </c>
      <c r="N16">
        <v>16</v>
      </c>
      <c r="O16">
        <v>36</v>
      </c>
      <c r="P16">
        <v>45</v>
      </c>
      <c r="Q16">
        <v>1</v>
      </c>
      <c r="R16">
        <v>2</v>
      </c>
      <c r="S16">
        <v>2</v>
      </c>
      <c r="T16">
        <v>5</v>
      </c>
      <c r="U16">
        <v>4</v>
      </c>
      <c r="V16">
        <v>1</v>
      </c>
      <c r="W16">
        <v>0</v>
      </c>
      <c r="X16">
        <v>1</v>
      </c>
    </row>
    <row r="17" spans="1:24">
      <c r="A17" t="s">
        <v>15</v>
      </c>
      <c r="B17">
        <v>29</v>
      </c>
      <c r="C17">
        <v>42</v>
      </c>
      <c r="D17">
        <v>33</v>
      </c>
      <c r="E17">
        <v>1</v>
      </c>
      <c r="F17">
        <v>0</v>
      </c>
      <c r="G17">
        <v>0</v>
      </c>
      <c r="H17">
        <v>2</v>
      </c>
      <c r="I17">
        <v>0</v>
      </c>
      <c r="J17">
        <v>0</v>
      </c>
      <c r="K17">
        <v>0</v>
      </c>
      <c r="L17">
        <v>0</v>
      </c>
      <c r="M17">
        <v>5</v>
      </c>
      <c r="N17">
        <v>2</v>
      </c>
      <c r="O17">
        <v>1</v>
      </c>
      <c r="P17">
        <v>0</v>
      </c>
      <c r="Q17">
        <v>19</v>
      </c>
      <c r="R17">
        <v>2</v>
      </c>
      <c r="S17">
        <v>0</v>
      </c>
      <c r="T17">
        <v>0</v>
      </c>
      <c r="U17">
        <v>0</v>
      </c>
      <c r="V17">
        <v>0</v>
      </c>
      <c r="W17">
        <v>0</v>
      </c>
      <c r="X17">
        <v>14</v>
      </c>
    </row>
    <row r="18" spans="1:24">
      <c r="A18" t="s">
        <v>16</v>
      </c>
      <c r="B18">
        <v>0</v>
      </c>
      <c r="C18">
        <v>1</v>
      </c>
      <c r="D18">
        <v>1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2</v>
      </c>
      <c r="R18">
        <v>118</v>
      </c>
      <c r="S18">
        <v>26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20</v>
      </c>
      <c r="S19">
        <v>126</v>
      </c>
      <c r="T19">
        <v>0</v>
      </c>
      <c r="U19">
        <v>0</v>
      </c>
      <c r="V19">
        <v>0</v>
      </c>
      <c r="W19">
        <v>1</v>
      </c>
      <c r="X19">
        <v>1</v>
      </c>
    </row>
    <row r="20" spans="1:24">
      <c r="A20" t="s">
        <v>18</v>
      </c>
      <c r="B20">
        <v>3</v>
      </c>
      <c r="C20">
        <v>0</v>
      </c>
      <c r="D20">
        <v>1</v>
      </c>
      <c r="E20">
        <v>11</v>
      </c>
      <c r="F20">
        <v>1</v>
      </c>
      <c r="G20">
        <v>4</v>
      </c>
      <c r="H20">
        <v>1</v>
      </c>
      <c r="I20">
        <v>1</v>
      </c>
      <c r="J20">
        <v>0</v>
      </c>
      <c r="K20">
        <v>0</v>
      </c>
      <c r="L20">
        <v>0</v>
      </c>
      <c r="M20">
        <v>5</v>
      </c>
      <c r="N20">
        <v>0</v>
      </c>
      <c r="O20">
        <v>0</v>
      </c>
      <c r="P20">
        <v>0</v>
      </c>
      <c r="Q20">
        <v>2</v>
      </c>
      <c r="R20">
        <v>2</v>
      </c>
      <c r="S20">
        <v>3</v>
      </c>
      <c r="T20">
        <v>107</v>
      </c>
      <c r="U20">
        <v>3</v>
      </c>
      <c r="V20">
        <v>1</v>
      </c>
      <c r="W20">
        <v>2</v>
      </c>
      <c r="X20">
        <v>3</v>
      </c>
    </row>
    <row r="21" spans="1:24">
      <c r="A21" t="s">
        <v>19</v>
      </c>
      <c r="B21">
        <v>0</v>
      </c>
      <c r="C21">
        <v>1</v>
      </c>
      <c r="D21">
        <v>1</v>
      </c>
      <c r="E21">
        <v>2</v>
      </c>
      <c r="F21">
        <v>1</v>
      </c>
      <c r="G21">
        <v>7</v>
      </c>
      <c r="H21">
        <v>0</v>
      </c>
      <c r="I21">
        <v>1</v>
      </c>
      <c r="J21">
        <v>0</v>
      </c>
      <c r="K21">
        <v>0</v>
      </c>
      <c r="L21">
        <v>1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30</v>
      </c>
      <c r="U21">
        <v>68</v>
      </c>
      <c r="V21">
        <v>14</v>
      </c>
      <c r="W21">
        <v>20</v>
      </c>
      <c r="X21">
        <v>2</v>
      </c>
    </row>
    <row r="22" spans="1:24">
      <c r="A22" t="s">
        <v>20</v>
      </c>
      <c r="B22">
        <v>0</v>
      </c>
      <c r="C22">
        <v>4</v>
      </c>
      <c r="D22">
        <v>1</v>
      </c>
      <c r="E22">
        <v>2</v>
      </c>
      <c r="F22">
        <v>1</v>
      </c>
      <c r="G22">
        <v>2</v>
      </c>
      <c r="H22">
        <v>1</v>
      </c>
      <c r="I22">
        <v>1</v>
      </c>
      <c r="J22">
        <v>1</v>
      </c>
      <c r="K22">
        <v>0</v>
      </c>
      <c r="L22">
        <v>1</v>
      </c>
      <c r="M22">
        <v>1</v>
      </c>
      <c r="N22">
        <v>0</v>
      </c>
      <c r="O22">
        <v>1</v>
      </c>
      <c r="P22">
        <v>2</v>
      </c>
      <c r="Q22">
        <v>2</v>
      </c>
      <c r="R22">
        <v>1</v>
      </c>
      <c r="S22">
        <v>0</v>
      </c>
      <c r="T22">
        <v>14</v>
      </c>
      <c r="U22">
        <v>22</v>
      </c>
      <c r="V22">
        <v>75</v>
      </c>
      <c r="W22">
        <v>17</v>
      </c>
      <c r="X22">
        <v>1</v>
      </c>
    </row>
    <row r="23" spans="1:24">
      <c r="A23" s="1" t="s">
        <v>21</v>
      </c>
      <c r="B23">
        <v>0</v>
      </c>
      <c r="C23">
        <v>0</v>
      </c>
      <c r="D23">
        <v>0</v>
      </c>
      <c r="E23">
        <v>2</v>
      </c>
      <c r="F23">
        <v>1</v>
      </c>
      <c r="G23">
        <v>5</v>
      </c>
      <c r="H23">
        <v>0</v>
      </c>
      <c r="I23">
        <v>0</v>
      </c>
      <c r="J23">
        <v>1</v>
      </c>
      <c r="K23">
        <v>0</v>
      </c>
      <c r="L23">
        <v>1</v>
      </c>
      <c r="M23">
        <v>0</v>
      </c>
      <c r="N23">
        <v>0</v>
      </c>
      <c r="O23">
        <v>3</v>
      </c>
      <c r="P23">
        <v>0</v>
      </c>
      <c r="Q23">
        <v>1</v>
      </c>
      <c r="R23">
        <v>3</v>
      </c>
      <c r="S23">
        <v>1</v>
      </c>
      <c r="T23">
        <v>3</v>
      </c>
      <c r="U23">
        <v>6</v>
      </c>
      <c r="V23">
        <v>5</v>
      </c>
      <c r="W23">
        <v>108</v>
      </c>
      <c r="X23">
        <v>10</v>
      </c>
    </row>
    <row r="24" spans="1:24">
      <c r="A24" s="1" t="s">
        <v>22</v>
      </c>
      <c r="B24">
        <v>3</v>
      </c>
      <c r="C24">
        <v>5</v>
      </c>
      <c r="D24">
        <v>10</v>
      </c>
      <c r="E24">
        <v>3</v>
      </c>
      <c r="F24">
        <v>1</v>
      </c>
      <c r="G24">
        <v>1</v>
      </c>
      <c r="H24">
        <v>0</v>
      </c>
      <c r="I24">
        <v>1</v>
      </c>
      <c r="J24">
        <v>0</v>
      </c>
      <c r="K24">
        <v>0</v>
      </c>
      <c r="L24">
        <v>0</v>
      </c>
      <c r="M24">
        <v>4</v>
      </c>
      <c r="N24">
        <v>2</v>
      </c>
      <c r="O24">
        <v>1</v>
      </c>
      <c r="P24">
        <v>2</v>
      </c>
      <c r="Q24">
        <v>11</v>
      </c>
      <c r="R24">
        <v>1</v>
      </c>
      <c r="S24">
        <v>2</v>
      </c>
      <c r="T24">
        <v>3</v>
      </c>
      <c r="U24">
        <v>3</v>
      </c>
      <c r="V24">
        <v>1</v>
      </c>
      <c r="W24">
        <v>2</v>
      </c>
      <c r="X24">
        <v>94</v>
      </c>
    </row>
    <row r="25" spans="1:24">
      <c r="B25">
        <v>136</v>
      </c>
      <c r="C25">
        <v>308</v>
      </c>
      <c r="D25">
        <v>233</v>
      </c>
      <c r="E25">
        <v>128</v>
      </c>
      <c r="F25">
        <v>243</v>
      </c>
      <c r="G25">
        <v>153</v>
      </c>
      <c r="H25">
        <v>257</v>
      </c>
      <c r="I25">
        <v>152</v>
      </c>
      <c r="J25">
        <v>107</v>
      </c>
      <c r="K25">
        <v>67</v>
      </c>
      <c r="L25">
        <v>88</v>
      </c>
      <c r="M25">
        <v>143</v>
      </c>
      <c r="N25">
        <v>102</v>
      </c>
      <c r="O25">
        <v>93</v>
      </c>
      <c r="P25">
        <v>143</v>
      </c>
      <c r="Q25">
        <v>51</v>
      </c>
      <c r="R25">
        <v>152</v>
      </c>
      <c r="S25">
        <v>166</v>
      </c>
      <c r="T25">
        <v>177</v>
      </c>
      <c r="U25">
        <v>118</v>
      </c>
      <c r="V25">
        <v>106</v>
      </c>
      <c r="W25">
        <v>171</v>
      </c>
      <c r="X25">
        <v>156</v>
      </c>
    </row>
    <row r="27" spans="1:24">
      <c r="A27" t="s">
        <v>24</v>
      </c>
      <c r="B27">
        <f>SUM(B2:B24)</f>
        <v>136</v>
      </c>
      <c r="C27">
        <f t="shared" ref="C27:X27" si="0">SUM(C2:C24)</f>
        <v>308</v>
      </c>
      <c r="D27">
        <f t="shared" si="0"/>
        <v>233</v>
      </c>
      <c r="E27">
        <f t="shared" si="0"/>
        <v>128</v>
      </c>
      <c r="F27">
        <f t="shared" si="0"/>
        <v>243</v>
      </c>
      <c r="G27">
        <f t="shared" si="0"/>
        <v>153</v>
      </c>
      <c r="H27">
        <f t="shared" si="0"/>
        <v>257</v>
      </c>
      <c r="I27">
        <f t="shared" si="0"/>
        <v>152</v>
      </c>
      <c r="J27">
        <f t="shared" si="0"/>
        <v>107</v>
      </c>
      <c r="K27">
        <f t="shared" si="0"/>
        <v>67</v>
      </c>
      <c r="L27">
        <f t="shared" si="0"/>
        <v>88</v>
      </c>
      <c r="M27">
        <f t="shared" si="0"/>
        <v>143</v>
      </c>
      <c r="N27">
        <f t="shared" si="0"/>
        <v>102</v>
      </c>
      <c r="O27" s="3">
        <f>SUM(O2:O24)</f>
        <v>113</v>
      </c>
      <c r="P27">
        <f t="shared" si="0"/>
        <v>143</v>
      </c>
      <c r="Q27">
        <f t="shared" si="0"/>
        <v>51</v>
      </c>
      <c r="R27">
        <f t="shared" si="0"/>
        <v>152</v>
      </c>
      <c r="S27">
        <f t="shared" si="0"/>
        <v>166</v>
      </c>
      <c r="T27">
        <f t="shared" si="0"/>
        <v>177</v>
      </c>
      <c r="U27">
        <f t="shared" si="0"/>
        <v>118</v>
      </c>
      <c r="V27">
        <f t="shared" si="0"/>
        <v>106</v>
      </c>
      <c r="W27">
        <f t="shared" si="0"/>
        <v>171</v>
      </c>
      <c r="X27">
        <f t="shared" si="0"/>
        <v>156</v>
      </c>
    </row>
    <row r="28" spans="1:24" ht="12" customHeight="1"/>
    <row r="29" spans="1:24" ht="12" customHeight="1">
      <c r="A29" t="s">
        <v>42</v>
      </c>
      <c r="B29">
        <f>B27-B25</f>
        <v>0</v>
      </c>
      <c r="C29">
        <f t="shared" ref="C29:X29" si="1">C27-C25</f>
        <v>0</v>
      </c>
      <c r="D29">
        <f t="shared" si="1"/>
        <v>0</v>
      </c>
      <c r="E29">
        <f t="shared" si="1"/>
        <v>0</v>
      </c>
      <c r="F29">
        <f t="shared" si="1"/>
        <v>0</v>
      </c>
      <c r="G29">
        <f t="shared" si="1"/>
        <v>0</v>
      </c>
      <c r="H29">
        <f t="shared" si="1"/>
        <v>0</v>
      </c>
      <c r="I29">
        <f t="shared" si="1"/>
        <v>0</v>
      </c>
      <c r="J29">
        <f t="shared" si="1"/>
        <v>0</v>
      </c>
      <c r="K29">
        <f t="shared" si="1"/>
        <v>0</v>
      </c>
      <c r="L29">
        <f t="shared" si="1"/>
        <v>0</v>
      </c>
      <c r="M29">
        <f t="shared" si="1"/>
        <v>0</v>
      </c>
      <c r="N29">
        <f t="shared" si="1"/>
        <v>0</v>
      </c>
      <c r="O29" s="3">
        <f t="shared" si="1"/>
        <v>20</v>
      </c>
      <c r="P29">
        <f t="shared" si="1"/>
        <v>0</v>
      </c>
      <c r="Q29">
        <f t="shared" si="1"/>
        <v>0</v>
      </c>
      <c r="R29">
        <f t="shared" si="1"/>
        <v>0</v>
      </c>
      <c r="S29">
        <f t="shared" si="1"/>
        <v>0</v>
      </c>
      <c r="T29">
        <f t="shared" si="1"/>
        <v>0</v>
      </c>
      <c r="U29">
        <f t="shared" si="1"/>
        <v>0</v>
      </c>
      <c r="V29">
        <f t="shared" si="1"/>
        <v>0</v>
      </c>
      <c r="W29">
        <f t="shared" si="1"/>
        <v>0</v>
      </c>
      <c r="X29">
        <f t="shared" si="1"/>
        <v>0</v>
      </c>
    </row>
    <row r="30" spans="1:24" ht="12" customHeight="1"/>
    <row r="31" spans="1:24">
      <c r="N31" s="3" t="s">
        <v>45</v>
      </c>
      <c r="O31" s="3" t="s">
        <v>23</v>
      </c>
      <c r="P31" s="3"/>
      <c r="Q31" s="3"/>
      <c r="R31" s="3"/>
      <c r="S31" s="3"/>
      <c r="T31" s="3"/>
      <c r="U31" s="3"/>
      <c r="V31" s="3"/>
      <c r="W31" s="3"/>
    </row>
    <row r="33" spans="1:1">
      <c r="A33" t="s">
        <v>44</v>
      </c>
    </row>
  </sheetData>
  <pageMargins left="0.43055555555555558" right="0.43055555555555558" top="1" bottom="1" header="0.5" footer="0.5"/>
  <pageSetup orientation="landscape" horizontalDpi="4294967292" verticalDpi="4294967292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X33"/>
  <sheetViews>
    <sheetView workbookViewId="0">
      <selection activeCell="A33" sqref="A33"/>
    </sheetView>
  </sheetViews>
  <sheetFormatPr baseColWidth="10" defaultRowHeight="13"/>
  <cols>
    <col min="1" max="12" width="4.140625" customWidth="1"/>
    <col min="13" max="25" width="4" customWidth="1"/>
  </cols>
  <sheetData>
    <row r="1" spans="1:24">
      <c r="A1" s="2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>
      <c r="A2" t="s">
        <v>0</v>
      </c>
      <c r="B2">
        <v>14</v>
      </c>
      <c r="C2">
        <v>53</v>
      </c>
      <c r="D2">
        <v>26</v>
      </c>
      <c r="E2">
        <v>2</v>
      </c>
      <c r="F2">
        <v>3</v>
      </c>
      <c r="G2">
        <v>4</v>
      </c>
      <c r="H2">
        <v>6</v>
      </c>
      <c r="I2">
        <v>2</v>
      </c>
      <c r="J2">
        <v>5</v>
      </c>
      <c r="K2">
        <v>2</v>
      </c>
      <c r="L2">
        <v>0</v>
      </c>
      <c r="M2">
        <v>7</v>
      </c>
      <c r="N2">
        <v>1</v>
      </c>
      <c r="O2">
        <v>0</v>
      </c>
      <c r="P2">
        <v>0</v>
      </c>
      <c r="Q2">
        <v>5</v>
      </c>
      <c r="R2">
        <v>2</v>
      </c>
      <c r="S2">
        <v>3</v>
      </c>
      <c r="T2">
        <v>0</v>
      </c>
      <c r="U2">
        <v>3</v>
      </c>
      <c r="V2">
        <v>0</v>
      </c>
      <c r="W2">
        <v>1</v>
      </c>
      <c r="X2">
        <v>11</v>
      </c>
    </row>
    <row r="3" spans="1:24">
      <c r="A3" t="s">
        <v>1</v>
      </c>
      <c r="B3">
        <v>12</v>
      </c>
      <c r="C3">
        <v>41</v>
      </c>
      <c r="D3">
        <v>28</v>
      </c>
      <c r="E3">
        <v>2</v>
      </c>
      <c r="F3">
        <v>8</v>
      </c>
      <c r="G3">
        <v>3</v>
      </c>
      <c r="H3">
        <v>9</v>
      </c>
      <c r="I3">
        <v>1</v>
      </c>
      <c r="J3">
        <v>4</v>
      </c>
      <c r="K3">
        <v>2</v>
      </c>
      <c r="L3">
        <v>1</v>
      </c>
      <c r="M3">
        <v>8</v>
      </c>
      <c r="N3">
        <v>3</v>
      </c>
      <c r="O3">
        <v>3</v>
      </c>
      <c r="P3">
        <v>4</v>
      </c>
      <c r="Q3">
        <v>2</v>
      </c>
      <c r="R3">
        <v>2</v>
      </c>
      <c r="S3">
        <v>0</v>
      </c>
      <c r="T3">
        <v>1</v>
      </c>
      <c r="U3">
        <v>1</v>
      </c>
      <c r="V3">
        <v>0</v>
      </c>
      <c r="W3">
        <v>1</v>
      </c>
      <c r="X3">
        <v>14</v>
      </c>
    </row>
    <row r="4" spans="1:24">
      <c r="A4" t="s">
        <v>2</v>
      </c>
      <c r="B4">
        <v>6</v>
      </c>
      <c r="C4">
        <v>46</v>
      </c>
      <c r="D4">
        <v>36</v>
      </c>
      <c r="E4">
        <v>2</v>
      </c>
      <c r="F4">
        <v>5</v>
      </c>
      <c r="G4">
        <v>3</v>
      </c>
      <c r="H4">
        <v>9</v>
      </c>
      <c r="I4">
        <v>0</v>
      </c>
      <c r="J4">
        <v>12</v>
      </c>
      <c r="K4">
        <v>0</v>
      </c>
      <c r="L4">
        <v>1</v>
      </c>
      <c r="M4">
        <v>5</v>
      </c>
      <c r="N4">
        <v>1</v>
      </c>
      <c r="O4">
        <v>2</v>
      </c>
      <c r="P4">
        <v>0</v>
      </c>
      <c r="Q4">
        <v>3</v>
      </c>
      <c r="R4">
        <v>1</v>
      </c>
      <c r="S4">
        <v>2</v>
      </c>
      <c r="T4">
        <v>0</v>
      </c>
      <c r="U4">
        <v>0</v>
      </c>
      <c r="V4">
        <v>0</v>
      </c>
      <c r="W4">
        <v>0</v>
      </c>
      <c r="X4">
        <v>16</v>
      </c>
    </row>
    <row r="5" spans="1:24">
      <c r="A5" t="s">
        <v>3</v>
      </c>
      <c r="B5">
        <v>5</v>
      </c>
      <c r="C5">
        <v>19</v>
      </c>
      <c r="D5">
        <v>13</v>
      </c>
      <c r="E5">
        <v>9</v>
      </c>
      <c r="F5">
        <v>23</v>
      </c>
      <c r="G5">
        <v>5</v>
      </c>
      <c r="H5">
        <v>7</v>
      </c>
      <c r="I5">
        <v>3</v>
      </c>
      <c r="J5">
        <v>12</v>
      </c>
      <c r="K5">
        <v>0</v>
      </c>
      <c r="L5">
        <v>4</v>
      </c>
      <c r="M5">
        <v>3</v>
      </c>
      <c r="N5">
        <v>4</v>
      </c>
      <c r="O5">
        <v>5</v>
      </c>
      <c r="P5">
        <v>4</v>
      </c>
      <c r="Q5">
        <v>3</v>
      </c>
      <c r="R5">
        <v>4</v>
      </c>
      <c r="S5">
        <v>2</v>
      </c>
      <c r="T5">
        <v>3</v>
      </c>
      <c r="U5">
        <v>2</v>
      </c>
      <c r="V5">
        <v>3</v>
      </c>
      <c r="W5">
        <v>1</v>
      </c>
      <c r="X5">
        <v>16</v>
      </c>
    </row>
    <row r="6" spans="1:24">
      <c r="A6" t="s">
        <v>4</v>
      </c>
      <c r="B6">
        <v>4</v>
      </c>
      <c r="C6">
        <v>17</v>
      </c>
      <c r="D6">
        <v>6</v>
      </c>
      <c r="E6">
        <v>4</v>
      </c>
      <c r="F6">
        <v>38</v>
      </c>
      <c r="G6">
        <v>19</v>
      </c>
      <c r="H6">
        <v>5</v>
      </c>
      <c r="I6">
        <v>8</v>
      </c>
      <c r="J6">
        <v>9</v>
      </c>
      <c r="K6">
        <v>2</v>
      </c>
      <c r="L6">
        <v>3</v>
      </c>
      <c r="M6">
        <v>2</v>
      </c>
      <c r="N6">
        <v>6</v>
      </c>
      <c r="O6">
        <v>1</v>
      </c>
      <c r="P6">
        <v>6</v>
      </c>
      <c r="Q6">
        <v>2</v>
      </c>
      <c r="R6">
        <v>1</v>
      </c>
      <c r="S6">
        <v>1</v>
      </c>
      <c r="T6">
        <v>4</v>
      </c>
      <c r="U6">
        <v>3</v>
      </c>
      <c r="V6">
        <v>0</v>
      </c>
      <c r="W6">
        <v>0</v>
      </c>
      <c r="X6">
        <v>9</v>
      </c>
    </row>
    <row r="7" spans="1:24">
      <c r="A7" t="s">
        <v>5</v>
      </c>
      <c r="B7">
        <v>0</v>
      </c>
      <c r="C7">
        <v>6</v>
      </c>
      <c r="D7">
        <v>7</v>
      </c>
      <c r="E7">
        <v>1</v>
      </c>
      <c r="F7">
        <v>19</v>
      </c>
      <c r="G7">
        <v>24</v>
      </c>
      <c r="H7">
        <v>1</v>
      </c>
      <c r="I7">
        <v>25</v>
      </c>
      <c r="J7">
        <v>2</v>
      </c>
      <c r="K7">
        <v>0</v>
      </c>
      <c r="L7">
        <v>7</v>
      </c>
      <c r="M7">
        <v>2</v>
      </c>
      <c r="N7">
        <v>0</v>
      </c>
      <c r="O7">
        <v>3</v>
      </c>
      <c r="P7">
        <v>1</v>
      </c>
      <c r="Q7">
        <v>0</v>
      </c>
      <c r="R7">
        <v>1</v>
      </c>
      <c r="S7">
        <v>0</v>
      </c>
      <c r="T7">
        <v>6</v>
      </c>
      <c r="U7">
        <v>1</v>
      </c>
      <c r="V7">
        <v>7</v>
      </c>
      <c r="W7">
        <v>25</v>
      </c>
      <c r="X7">
        <v>12</v>
      </c>
    </row>
    <row r="8" spans="1:24">
      <c r="A8" t="s">
        <v>6</v>
      </c>
      <c r="B8">
        <v>6</v>
      </c>
      <c r="C8">
        <v>21</v>
      </c>
      <c r="D8">
        <v>13</v>
      </c>
      <c r="E8">
        <v>0</v>
      </c>
      <c r="F8">
        <v>5</v>
      </c>
      <c r="G8">
        <v>6</v>
      </c>
      <c r="H8">
        <v>58</v>
      </c>
      <c r="I8">
        <v>9</v>
      </c>
      <c r="J8">
        <v>6</v>
      </c>
      <c r="K8">
        <v>3</v>
      </c>
      <c r="L8">
        <v>2</v>
      </c>
      <c r="M8">
        <v>2</v>
      </c>
      <c r="N8">
        <v>1</v>
      </c>
      <c r="O8">
        <v>1</v>
      </c>
      <c r="P8">
        <v>1</v>
      </c>
      <c r="Q8">
        <v>2</v>
      </c>
      <c r="R8">
        <v>1</v>
      </c>
      <c r="S8">
        <v>0</v>
      </c>
      <c r="T8">
        <v>3</v>
      </c>
      <c r="U8">
        <v>0</v>
      </c>
      <c r="V8">
        <v>1</v>
      </c>
      <c r="W8">
        <v>2</v>
      </c>
      <c r="X8">
        <v>7</v>
      </c>
    </row>
    <row r="9" spans="1:24">
      <c r="A9" t="s">
        <v>7</v>
      </c>
      <c r="B9">
        <v>1</v>
      </c>
      <c r="C9">
        <v>7</v>
      </c>
      <c r="D9">
        <v>3</v>
      </c>
      <c r="E9">
        <v>2</v>
      </c>
      <c r="F9">
        <v>25</v>
      </c>
      <c r="G9">
        <v>10</v>
      </c>
      <c r="H9">
        <v>5</v>
      </c>
      <c r="I9">
        <v>60</v>
      </c>
      <c r="J9">
        <v>6</v>
      </c>
      <c r="K9">
        <v>1</v>
      </c>
      <c r="L9">
        <v>5</v>
      </c>
      <c r="M9">
        <v>0</v>
      </c>
      <c r="N9">
        <v>0</v>
      </c>
      <c r="O9">
        <v>2</v>
      </c>
      <c r="P9">
        <v>2</v>
      </c>
      <c r="Q9">
        <v>2</v>
      </c>
      <c r="R9">
        <v>0</v>
      </c>
      <c r="S9">
        <v>0</v>
      </c>
      <c r="T9">
        <v>2</v>
      </c>
      <c r="U9">
        <v>0</v>
      </c>
      <c r="V9">
        <v>4</v>
      </c>
      <c r="W9">
        <v>5</v>
      </c>
      <c r="X9">
        <v>8</v>
      </c>
    </row>
    <row r="10" spans="1:24">
      <c r="A10" t="s">
        <v>8</v>
      </c>
      <c r="B10">
        <v>9</v>
      </c>
      <c r="C10">
        <v>18</v>
      </c>
      <c r="D10">
        <v>16</v>
      </c>
      <c r="E10">
        <v>2</v>
      </c>
      <c r="F10">
        <v>16</v>
      </c>
      <c r="G10">
        <v>6</v>
      </c>
      <c r="H10">
        <v>11</v>
      </c>
      <c r="I10">
        <v>1</v>
      </c>
      <c r="J10">
        <v>34</v>
      </c>
      <c r="K10">
        <v>1</v>
      </c>
      <c r="L10">
        <v>6</v>
      </c>
      <c r="M10">
        <v>5</v>
      </c>
      <c r="N10">
        <v>5</v>
      </c>
      <c r="O10">
        <v>2</v>
      </c>
      <c r="P10">
        <v>3</v>
      </c>
      <c r="Q10">
        <v>1</v>
      </c>
      <c r="R10">
        <v>0</v>
      </c>
      <c r="S10">
        <v>0</v>
      </c>
      <c r="T10">
        <v>1</v>
      </c>
      <c r="U10">
        <v>0</v>
      </c>
      <c r="V10">
        <v>1</v>
      </c>
      <c r="W10">
        <v>2</v>
      </c>
      <c r="X10">
        <v>10</v>
      </c>
    </row>
    <row r="11" spans="1:24">
      <c r="A11" t="s">
        <v>9</v>
      </c>
      <c r="B11">
        <v>1</v>
      </c>
      <c r="C11">
        <v>12</v>
      </c>
      <c r="D11">
        <v>9</v>
      </c>
      <c r="E11">
        <v>0</v>
      </c>
      <c r="F11">
        <v>5</v>
      </c>
      <c r="G11">
        <v>8</v>
      </c>
      <c r="H11">
        <v>55</v>
      </c>
      <c r="I11">
        <v>29</v>
      </c>
      <c r="J11">
        <v>9</v>
      </c>
      <c r="K11">
        <v>8</v>
      </c>
      <c r="L11">
        <v>1</v>
      </c>
      <c r="M11">
        <v>2</v>
      </c>
      <c r="N11">
        <v>0</v>
      </c>
      <c r="O11">
        <v>1</v>
      </c>
      <c r="P11">
        <v>3</v>
      </c>
      <c r="Q11">
        <v>0</v>
      </c>
      <c r="R11">
        <v>2</v>
      </c>
      <c r="S11">
        <v>0</v>
      </c>
      <c r="T11">
        <v>0</v>
      </c>
      <c r="U11">
        <v>0</v>
      </c>
      <c r="V11">
        <v>0</v>
      </c>
      <c r="W11">
        <v>1</v>
      </c>
      <c r="X11">
        <v>4</v>
      </c>
    </row>
    <row r="12" spans="1:24">
      <c r="A12" t="s">
        <v>10</v>
      </c>
      <c r="B12">
        <v>2</v>
      </c>
      <c r="C12">
        <v>4</v>
      </c>
      <c r="D12">
        <v>0</v>
      </c>
      <c r="E12">
        <v>7</v>
      </c>
      <c r="F12">
        <v>30</v>
      </c>
      <c r="G12">
        <v>24</v>
      </c>
      <c r="H12">
        <v>4</v>
      </c>
      <c r="I12">
        <v>21</v>
      </c>
      <c r="J12">
        <v>6</v>
      </c>
      <c r="K12">
        <v>1</v>
      </c>
      <c r="L12">
        <v>7</v>
      </c>
      <c r="M12">
        <v>0</v>
      </c>
      <c r="N12">
        <v>5</v>
      </c>
      <c r="O12">
        <v>6</v>
      </c>
      <c r="P12">
        <v>4</v>
      </c>
      <c r="Q12">
        <v>0</v>
      </c>
      <c r="R12">
        <v>0</v>
      </c>
      <c r="S12">
        <v>0</v>
      </c>
      <c r="T12">
        <v>2</v>
      </c>
      <c r="U12">
        <v>3</v>
      </c>
      <c r="V12">
        <v>7</v>
      </c>
      <c r="W12">
        <v>13</v>
      </c>
      <c r="X12">
        <v>4</v>
      </c>
    </row>
    <row r="13" spans="1:24">
      <c r="A13" t="s">
        <v>11</v>
      </c>
      <c r="B13">
        <v>10</v>
      </c>
      <c r="C13">
        <v>24</v>
      </c>
      <c r="D13">
        <v>13</v>
      </c>
      <c r="E13">
        <v>2</v>
      </c>
      <c r="F13">
        <v>4</v>
      </c>
      <c r="G13">
        <v>2</v>
      </c>
      <c r="H13">
        <v>4</v>
      </c>
      <c r="I13">
        <v>2</v>
      </c>
      <c r="J13">
        <v>33</v>
      </c>
      <c r="K13">
        <v>2</v>
      </c>
      <c r="L13">
        <v>3</v>
      </c>
      <c r="M13">
        <v>15</v>
      </c>
      <c r="N13">
        <v>5</v>
      </c>
      <c r="O13">
        <v>6</v>
      </c>
      <c r="P13">
        <v>6</v>
      </c>
      <c r="Q13">
        <v>1</v>
      </c>
      <c r="R13">
        <v>0</v>
      </c>
      <c r="S13">
        <v>1</v>
      </c>
      <c r="T13">
        <v>0</v>
      </c>
      <c r="U13">
        <v>4</v>
      </c>
      <c r="V13">
        <v>0</v>
      </c>
      <c r="W13">
        <v>2</v>
      </c>
      <c r="X13">
        <v>11</v>
      </c>
    </row>
    <row r="14" spans="1:24">
      <c r="A14" t="s">
        <v>12</v>
      </c>
      <c r="B14">
        <v>7</v>
      </c>
      <c r="C14">
        <v>34</v>
      </c>
      <c r="D14">
        <v>17</v>
      </c>
      <c r="E14">
        <v>4</v>
      </c>
      <c r="F14">
        <v>5</v>
      </c>
      <c r="G14">
        <v>4</v>
      </c>
      <c r="H14">
        <v>8</v>
      </c>
      <c r="I14">
        <v>2</v>
      </c>
      <c r="J14">
        <v>16</v>
      </c>
      <c r="K14">
        <v>3</v>
      </c>
      <c r="L14">
        <v>4</v>
      </c>
      <c r="M14">
        <v>19</v>
      </c>
      <c r="N14">
        <v>3</v>
      </c>
      <c r="O14">
        <v>4</v>
      </c>
      <c r="P14">
        <v>9</v>
      </c>
      <c r="Q14">
        <v>2</v>
      </c>
      <c r="R14">
        <v>0</v>
      </c>
      <c r="S14">
        <v>0</v>
      </c>
      <c r="T14">
        <v>0</v>
      </c>
      <c r="U14">
        <v>0</v>
      </c>
      <c r="V14">
        <v>1</v>
      </c>
      <c r="W14">
        <v>1</v>
      </c>
      <c r="X14">
        <v>7</v>
      </c>
    </row>
    <row r="15" spans="1:24">
      <c r="A15" t="s">
        <v>13</v>
      </c>
      <c r="B15">
        <v>3</v>
      </c>
      <c r="C15">
        <v>8</v>
      </c>
      <c r="D15">
        <v>7</v>
      </c>
      <c r="E15">
        <v>11</v>
      </c>
      <c r="F15">
        <v>24</v>
      </c>
      <c r="G15">
        <v>8</v>
      </c>
      <c r="H15">
        <v>1</v>
      </c>
      <c r="I15">
        <v>10</v>
      </c>
      <c r="J15">
        <v>7</v>
      </c>
      <c r="K15">
        <v>1</v>
      </c>
      <c r="L15">
        <v>13</v>
      </c>
      <c r="M15">
        <v>6</v>
      </c>
      <c r="N15">
        <v>4</v>
      </c>
      <c r="O15">
        <v>10</v>
      </c>
      <c r="P15">
        <v>12</v>
      </c>
      <c r="Q15">
        <v>1</v>
      </c>
      <c r="R15">
        <v>2</v>
      </c>
      <c r="S15">
        <v>1</v>
      </c>
      <c r="T15">
        <v>2</v>
      </c>
      <c r="U15">
        <v>1</v>
      </c>
      <c r="V15">
        <v>4</v>
      </c>
      <c r="W15">
        <v>2</v>
      </c>
      <c r="X15">
        <v>12</v>
      </c>
    </row>
    <row r="16" spans="1:24">
      <c r="A16" t="s">
        <v>14</v>
      </c>
      <c r="B16">
        <v>2</v>
      </c>
      <c r="C16">
        <v>11</v>
      </c>
      <c r="D16">
        <v>4</v>
      </c>
      <c r="E16">
        <v>7</v>
      </c>
      <c r="F16">
        <v>21</v>
      </c>
      <c r="G16">
        <v>17</v>
      </c>
      <c r="H16">
        <v>2</v>
      </c>
      <c r="I16">
        <v>13</v>
      </c>
      <c r="J16">
        <v>6</v>
      </c>
      <c r="K16">
        <v>0</v>
      </c>
      <c r="L16">
        <v>12</v>
      </c>
      <c r="M16">
        <v>6</v>
      </c>
      <c r="N16">
        <v>2</v>
      </c>
      <c r="O16">
        <v>3</v>
      </c>
      <c r="P16">
        <v>11</v>
      </c>
      <c r="Q16">
        <v>0</v>
      </c>
      <c r="R16">
        <v>2</v>
      </c>
      <c r="S16">
        <v>1</v>
      </c>
      <c r="T16">
        <v>2</v>
      </c>
      <c r="U16">
        <v>7</v>
      </c>
      <c r="V16">
        <v>6</v>
      </c>
      <c r="W16">
        <v>4</v>
      </c>
      <c r="X16">
        <v>11</v>
      </c>
    </row>
    <row r="17" spans="1:24">
      <c r="A17" t="s">
        <v>15</v>
      </c>
      <c r="B17">
        <v>8</v>
      </c>
      <c r="C17">
        <v>35</v>
      </c>
      <c r="D17">
        <v>37</v>
      </c>
      <c r="E17">
        <v>2</v>
      </c>
      <c r="F17">
        <v>0</v>
      </c>
      <c r="G17">
        <v>1</v>
      </c>
      <c r="H17">
        <v>4</v>
      </c>
      <c r="I17">
        <v>2</v>
      </c>
      <c r="J17">
        <v>6</v>
      </c>
      <c r="K17">
        <v>1</v>
      </c>
      <c r="L17">
        <v>0</v>
      </c>
      <c r="M17">
        <v>4</v>
      </c>
      <c r="N17">
        <v>0</v>
      </c>
      <c r="O17">
        <v>0</v>
      </c>
      <c r="P17">
        <v>0</v>
      </c>
      <c r="Q17">
        <v>16</v>
      </c>
      <c r="R17">
        <v>0</v>
      </c>
      <c r="S17">
        <v>0</v>
      </c>
      <c r="T17">
        <v>3</v>
      </c>
      <c r="U17">
        <v>2</v>
      </c>
      <c r="V17">
        <v>0</v>
      </c>
      <c r="W17">
        <v>1</v>
      </c>
      <c r="X17">
        <v>28</v>
      </c>
    </row>
    <row r="18" spans="1:24">
      <c r="A18" t="s">
        <v>16</v>
      </c>
      <c r="B18">
        <v>0</v>
      </c>
      <c r="C18">
        <v>2</v>
      </c>
      <c r="D18">
        <v>2</v>
      </c>
      <c r="E18">
        <v>1</v>
      </c>
      <c r="F18">
        <v>1</v>
      </c>
      <c r="G18">
        <v>0</v>
      </c>
      <c r="H18">
        <v>0</v>
      </c>
      <c r="I18">
        <v>0</v>
      </c>
      <c r="J18">
        <v>4</v>
      </c>
      <c r="K18">
        <v>1</v>
      </c>
      <c r="L18">
        <v>1</v>
      </c>
      <c r="M18">
        <v>0</v>
      </c>
      <c r="N18">
        <v>0</v>
      </c>
      <c r="O18">
        <v>1</v>
      </c>
      <c r="P18">
        <v>0</v>
      </c>
      <c r="Q18">
        <v>0</v>
      </c>
      <c r="R18">
        <v>61</v>
      </c>
      <c r="S18">
        <v>59</v>
      </c>
      <c r="T18">
        <v>5</v>
      </c>
      <c r="U18">
        <v>0</v>
      </c>
      <c r="V18">
        <v>1</v>
      </c>
      <c r="W18">
        <v>2</v>
      </c>
      <c r="X18">
        <v>9</v>
      </c>
    </row>
    <row r="19" spans="1:24">
      <c r="A19" t="s">
        <v>17</v>
      </c>
      <c r="B19">
        <v>0</v>
      </c>
      <c r="C19">
        <v>9</v>
      </c>
      <c r="D19">
        <v>1</v>
      </c>
      <c r="E19">
        <v>0</v>
      </c>
      <c r="F19">
        <v>0</v>
      </c>
      <c r="G19">
        <v>1</v>
      </c>
      <c r="H19">
        <v>0</v>
      </c>
      <c r="I19">
        <v>0</v>
      </c>
      <c r="J19">
        <v>10</v>
      </c>
      <c r="K19">
        <v>0</v>
      </c>
      <c r="L19">
        <v>0</v>
      </c>
      <c r="M19">
        <v>2</v>
      </c>
      <c r="N19">
        <v>0</v>
      </c>
      <c r="O19">
        <v>1</v>
      </c>
      <c r="P19">
        <v>0</v>
      </c>
      <c r="Q19">
        <v>1</v>
      </c>
      <c r="R19">
        <v>40</v>
      </c>
      <c r="S19">
        <v>65</v>
      </c>
      <c r="T19">
        <v>1</v>
      </c>
      <c r="U19">
        <v>1</v>
      </c>
      <c r="V19">
        <v>1</v>
      </c>
      <c r="W19">
        <v>7</v>
      </c>
      <c r="X19">
        <v>10</v>
      </c>
    </row>
    <row r="20" spans="1:24">
      <c r="A20" t="s">
        <v>18</v>
      </c>
      <c r="B20">
        <v>2</v>
      </c>
      <c r="C20">
        <v>6</v>
      </c>
      <c r="D20">
        <v>1</v>
      </c>
      <c r="E20">
        <v>3</v>
      </c>
      <c r="F20">
        <v>2</v>
      </c>
      <c r="G20">
        <v>1</v>
      </c>
      <c r="H20">
        <v>1</v>
      </c>
      <c r="I20">
        <v>3</v>
      </c>
      <c r="J20">
        <v>0</v>
      </c>
      <c r="K20">
        <v>0</v>
      </c>
      <c r="L20">
        <v>1</v>
      </c>
      <c r="M20">
        <v>2</v>
      </c>
      <c r="N20">
        <v>2</v>
      </c>
      <c r="O20">
        <v>2</v>
      </c>
      <c r="P20">
        <v>3</v>
      </c>
      <c r="Q20">
        <v>1</v>
      </c>
      <c r="R20">
        <v>4</v>
      </c>
      <c r="S20">
        <v>3</v>
      </c>
      <c r="T20">
        <v>65</v>
      </c>
      <c r="U20">
        <v>15</v>
      </c>
      <c r="V20">
        <v>9</v>
      </c>
      <c r="W20">
        <v>13</v>
      </c>
      <c r="X20">
        <v>11</v>
      </c>
    </row>
    <row r="21" spans="1:24">
      <c r="A21" t="s">
        <v>19</v>
      </c>
      <c r="B21">
        <v>1</v>
      </c>
      <c r="C21">
        <v>2</v>
      </c>
      <c r="D21">
        <v>0</v>
      </c>
      <c r="E21">
        <v>1</v>
      </c>
      <c r="F21">
        <v>0</v>
      </c>
      <c r="G21">
        <v>4</v>
      </c>
      <c r="H21">
        <v>1</v>
      </c>
      <c r="I21">
        <v>5</v>
      </c>
      <c r="J21">
        <v>1</v>
      </c>
      <c r="K21">
        <v>0</v>
      </c>
      <c r="L21">
        <v>2</v>
      </c>
      <c r="M21">
        <v>2</v>
      </c>
      <c r="N21">
        <v>1</v>
      </c>
      <c r="O21">
        <v>1</v>
      </c>
      <c r="P21">
        <v>1</v>
      </c>
      <c r="Q21">
        <v>0</v>
      </c>
      <c r="R21">
        <v>1</v>
      </c>
      <c r="S21">
        <v>0</v>
      </c>
      <c r="T21">
        <v>24</v>
      </c>
      <c r="U21">
        <v>13</v>
      </c>
      <c r="V21">
        <v>20</v>
      </c>
      <c r="W21">
        <v>62</v>
      </c>
      <c r="X21">
        <v>8</v>
      </c>
    </row>
    <row r="22" spans="1:24">
      <c r="A22" t="s">
        <v>20</v>
      </c>
      <c r="B22">
        <v>1</v>
      </c>
      <c r="C22">
        <v>2</v>
      </c>
      <c r="D22">
        <v>1</v>
      </c>
      <c r="E22">
        <v>0</v>
      </c>
      <c r="F22">
        <v>4</v>
      </c>
      <c r="G22">
        <v>6</v>
      </c>
      <c r="H22">
        <v>0</v>
      </c>
      <c r="I22">
        <v>9</v>
      </c>
      <c r="J22">
        <v>2</v>
      </c>
      <c r="K22">
        <v>0</v>
      </c>
      <c r="L22">
        <v>3</v>
      </c>
      <c r="M22">
        <v>1</v>
      </c>
      <c r="N22">
        <v>0</v>
      </c>
      <c r="O22">
        <v>3</v>
      </c>
      <c r="P22">
        <v>2</v>
      </c>
      <c r="Q22">
        <v>2</v>
      </c>
      <c r="R22">
        <v>2</v>
      </c>
      <c r="S22">
        <v>3</v>
      </c>
      <c r="T22">
        <v>20</v>
      </c>
      <c r="U22">
        <v>13</v>
      </c>
      <c r="V22">
        <v>18</v>
      </c>
      <c r="W22">
        <v>42</v>
      </c>
      <c r="X22">
        <v>16</v>
      </c>
    </row>
    <row r="23" spans="1:24">
      <c r="A23" s="1" t="s">
        <v>21</v>
      </c>
      <c r="B23">
        <v>1</v>
      </c>
      <c r="C23">
        <v>3</v>
      </c>
      <c r="D23">
        <v>2</v>
      </c>
      <c r="E23">
        <v>0</v>
      </c>
      <c r="F23">
        <v>1</v>
      </c>
      <c r="G23">
        <v>5</v>
      </c>
      <c r="H23">
        <v>1</v>
      </c>
      <c r="I23">
        <v>15</v>
      </c>
      <c r="J23">
        <v>0</v>
      </c>
      <c r="K23">
        <v>0</v>
      </c>
      <c r="L23">
        <v>2</v>
      </c>
      <c r="M23">
        <v>0</v>
      </c>
      <c r="N23">
        <v>2</v>
      </c>
      <c r="O23">
        <v>1</v>
      </c>
      <c r="P23">
        <v>1</v>
      </c>
      <c r="Q23">
        <v>0</v>
      </c>
      <c r="R23">
        <v>1</v>
      </c>
      <c r="S23">
        <v>0</v>
      </c>
      <c r="T23">
        <v>7</v>
      </c>
      <c r="U23">
        <v>8</v>
      </c>
      <c r="V23">
        <v>12</v>
      </c>
      <c r="W23">
        <v>83</v>
      </c>
      <c r="X23">
        <v>5</v>
      </c>
    </row>
    <row r="24" spans="1:24">
      <c r="A24" s="1" t="s">
        <v>22</v>
      </c>
      <c r="B24">
        <v>5</v>
      </c>
      <c r="C24">
        <v>21</v>
      </c>
      <c r="D24">
        <v>11</v>
      </c>
      <c r="E24">
        <v>3</v>
      </c>
      <c r="F24">
        <v>5</v>
      </c>
      <c r="G24">
        <v>3</v>
      </c>
      <c r="H24">
        <v>0</v>
      </c>
      <c r="I24">
        <v>2</v>
      </c>
      <c r="J24">
        <v>4</v>
      </c>
      <c r="K24">
        <v>0</v>
      </c>
      <c r="L24">
        <v>0</v>
      </c>
      <c r="M24">
        <v>5</v>
      </c>
      <c r="N24">
        <v>0</v>
      </c>
      <c r="O24">
        <v>0</v>
      </c>
      <c r="P24">
        <v>3</v>
      </c>
      <c r="Q24">
        <v>10</v>
      </c>
      <c r="R24">
        <v>4</v>
      </c>
      <c r="S24">
        <v>2</v>
      </c>
      <c r="T24">
        <v>3</v>
      </c>
      <c r="U24">
        <v>5</v>
      </c>
      <c r="V24">
        <v>1</v>
      </c>
      <c r="W24">
        <v>4</v>
      </c>
      <c r="X24">
        <v>59</v>
      </c>
    </row>
    <row r="25" spans="1:24">
      <c r="B25">
        <v>100</v>
      </c>
      <c r="C25">
        <v>401</v>
      </c>
      <c r="D25">
        <v>253</v>
      </c>
      <c r="E25">
        <v>65</v>
      </c>
      <c r="F25">
        <v>244</v>
      </c>
      <c r="G25">
        <v>164</v>
      </c>
      <c r="H25">
        <v>192</v>
      </c>
      <c r="I25">
        <v>222</v>
      </c>
      <c r="J25">
        <v>194</v>
      </c>
      <c r="K25">
        <v>28</v>
      </c>
      <c r="L25">
        <v>78</v>
      </c>
      <c r="M25">
        <v>98</v>
      </c>
      <c r="N25">
        <v>45</v>
      </c>
      <c r="O25">
        <v>58</v>
      </c>
      <c r="P25">
        <v>76</v>
      </c>
      <c r="Q25">
        <v>54</v>
      </c>
      <c r="R25">
        <v>131</v>
      </c>
      <c r="S25">
        <v>143</v>
      </c>
      <c r="T25">
        <v>154</v>
      </c>
      <c r="U25">
        <v>82</v>
      </c>
      <c r="V25">
        <v>96</v>
      </c>
      <c r="W25">
        <v>274</v>
      </c>
      <c r="X25">
        <v>298</v>
      </c>
    </row>
    <row r="27" spans="1:24">
      <c r="A27" t="s">
        <v>24</v>
      </c>
      <c r="B27">
        <f>SUM(B2:B24)</f>
        <v>100</v>
      </c>
      <c r="C27">
        <f t="shared" ref="C27:X27" si="0">SUM(C2:C24)</f>
        <v>401</v>
      </c>
      <c r="D27">
        <f t="shared" si="0"/>
        <v>253</v>
      </c>
      <c r="E27">
        <f t="shared" si="0"/>
        <v>65</v>
      </c>
      <c r="F27">
        <f t="shared" si="0"/>
        <v>244</v>
      </c>
      <c r="G27">
        <f t="shared" si="0"/>
        <v>164</v>
      </c>
      <c r="H27">
        <f t="shared" si="0"/>
        <v>192</v>
      </c>
      <c r="I27">
        <f t="shared" si="0"/>
        <v>222</v>
      </c>
      <c r="J27">
        <f t="shared" si="0"/>
        <v>194</v>
      </c>
      <c r="K27">
        <f t="shared" si="0"/>
        <v>28</v>
      </c>
      <c r="L27">
        <f t="shared" si="0"/>
        <v>78</v>
      </c>
      <c r="M27">
        <f t="shared" si="0"/>
        <v>98</v>
      </c>
      <c r="N27">
        <f t="shared" si="0"/>
        <v>45</v>
      </c>
      <c r="O27">
        <f t="shared" si="0"/>
        <v>58</v>
      </c>
      <c r="P27">
        <f t="shared" si="0"/>
        <v>76</v>
      </c>
      <c r="Q27">
        <f t="shared" si="0"/>
        <v>54</v>
      </c>
      <c r="R27">
        <f t="shared" si="0"/>
        <v>131</v>
      </c>
      <c r="S27">
        <f t="shared" si="0"/>
        <v>143</v>
      </c>
      <c r="T27">
        <f t="shared" si="0"/>
        <v>154</v>
      </c>
      <c r="U27">
        <f t="shared" si="0"/>
        <v>82</v>
      </c>
      <c r="V27" s="4">
        <f t="shared" si="0"/>
        <v>96</v>
      </c>
      <c r="W27">
        <f t="shared" si="0"/>
        <v>274</v>
      </c>
      <c r="X27">
        <f t="shared" si="0"/>
        <v>298</v>
      </c>
    </row>
    <row r="29" spans="1:24">
      <c r="A29" t="s">
        <v>42</v>
      </c>
      <c r="B29">
        <f>B27-B25</f>
        <v>0</v>
      </c>
      <c r="C29">
        <f t="shared" ref="C29:X29" si="1">C27-C25</f>
        <v>0</v>
      </c>
      <c r="D29">
        <f t="shared" si="1"/>
        <v>0</v>
      </c>
      <c r="E29">
        <f t="shared" si="1"/>
        <v>0</v>
      </c>
      <c r="F29">
        <f t="shared" si="1"/>
        <v>0</v>
      </c>
      <c r="G29">
        <f t="shared" si="1"/>
        <v>0</v>
      </c>
      <c r="H29">
        <f t="shared" si="1"/>
        <v>0</v>
      </c>
      <c r="I29">
        <f t="shared" si="1"/>
        <v>0</v>
      </c>
      <c r="J29">
        <f t="shared" si="1"/>
        <v>0</v>
      </c>
      <c r="K29">
        <f t="shared" si="1"/>
        <v>0</v>
      </c>
      <c r="L29">
        <f t="shared" si="1"/>
        <v>0</v>
      </c>
      <c r="M29">
        <f t="shared" si="1"/>
        <v>0</v>
      </c>
      <c r="N29">
        <f t="shared" si="1"/>
        <v>0</v>
      </c>
      <c r="O29">
        <f t="shared" si="1"/>
        <v>0</v>
      </c>
      <c r="P29">
        <f t="shared" si="1"/>
        <v>0</v>
      </c>
      <c r="Q29">
        <f t="shared" si="1"/>
        <v>0</v>
      </c>
      <c r="R29">
        <f t="shared" si="1"/>
        <v>0</v>
      </c>
      <c r="S29">
        <f t="shared" si="1"/>
        <v>0</v>
      </c>
      <c r="T29">
        <f t="shared" si="1"/>
        <v>0</v>
      </c>
      <c r="U29">
        <f t="shared" si="1"/>
        <v>0</v>
      </c>
      <c r="V29">
        <f t="shared" si="1"/>
        <v>0</v>
      </c>
      <c r="W29">
        <f t="shared" si="1"/>
        <v>0</v>
      </c>
      <c r="X29">
        <f t="shared" si="1"/>
        <v>0</v>
      </c>
    </row>
    <row r="33" spans="1:1">
      <c r="A33" t="s">
        <v>46</v>
      </c>
    </row>
  </sheetData>
  <sheetCalcPr fullCalcOnLoad="1"/>
  <pageMargins left="0.75" right="0.75" top="1" bottom="1" header="0.5" footer="0.5"/>
  <pageSetup orientation="landscape" horizontalDpi="4294967292" verticalDpi="4294967292"/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V32"/>
  <sheetViews>
    <sheetView workbookViewId="0">
      <selection activeCell="A32" sqref="A32"/>
    </sheetView>
  </sheetViews>
  <sheetFormatPr baseColWidth="10" defaultRowHeight="13"/>
  <cols>
    <col min="1" max="12" width="4.140625" customWidth="1"/>
    <col min="13" max="25" width="4" customWidth="1"/>
  </cols>
  <sheetData>
    <row r="1" spans="1:17">
      <c r="A1" s="2"/>
      <c r="B1" t="s">
        <v>26</v>
      </c>
      <c r="C1" t="s">
        <v>25</v>
      </c>
      <c r="D1" t="s">
        <v>27</v>
      </c>
      <c r="E1" t="s">
        <v>30</v>
      </c>
      <c r="F1" t="s">
        <v>28</v>
      </c>
      <c r="G1" t="s">
        <v>29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  <c r="P1" t="s">
        <v>39</v>
      </c>
      <c r="Q1" t="s">
        <v>22</v>
      </c>
    </row>
    <row r="2" spans="1:17">
      <c r="A2" t="s">
        <v>26</v>
      </c>
      <c r="B2">
        <v>408</v>
      </c>
      <c r="C2">
        <v>3</v>
      </c>
      <c r="D2">
        <v>17</v>
      </c>
      <c r="E2">
        <v>3</v>
      </c>
      <c r="F2">
        <v>2</v>
      </c>
      <c r="G2">
        <v>0</v>
      </c>
      <c r="H2">
        <v>1</v>
      </c>
      <c r="I2">
        <v>3</v>
      </c>
      <c r="J2">
        <v>0</v>
      </c>
      <c r="K2">
        <v>3</v>
      </c>
      <c r="L2">
        <v>5</v>
      </c>
      <c r="M2">
        <v>2</v>
      </c>
      <c r="N2">
        <v>0</v>
      </c>
      <c r="O2">
        <v>2</v>
      </c>
      <c r="P2">
        <v>1</v>
      </c>
      <c r="Q2">
        <v>0</v>
      </c>
    </row>
    <row r="3" spans="1:17">
      <c r="A3" t="s">
        <v>25</v>
      </c>
      <c r="B3">
        <v>5</v>
      </c>
      <c r="C3">
        <v>368</v>
      </c>
      <c r="D3">
        <v>29</v>
      </c>
      <c r="E3">
        <v>5</v>
      </c>
      <c r="F3">
        <v>4</v>
      </c>
      <c r="G3">
        <v>3</v>
      </c>
      <c r="H3">
        <v>1</v>
      </c>
      <c r="I3">
        <v>10</v>
      </c>
      <c r="J3">
        <v>2</v>
      </c>
      <c r="K3">
        <v>2</v>
      </c>
      <c r="L3">
        <v>1</v>
      </c>
      <c r="M3">
        <v>1</v>
      </c>
      <c r="N3">
        <v>5</v>
      </c>
      <c r="O3">
        <v>6</v>
      </c>
      <c r="P3">
        <v>7</v>
      </c>
      <c r="Q3">
        <v>1</v>
      </c>
    </row>
    <row r="4" spans="1:17">
      <c r="A4" t="s">
        <v>27</v>
      </c>
      <c r="B4">
        <v>1</v>
      </c>
      <c r="C4">
        <v>20</v>
      </c>
      <c r="D4">
        <v>372</v>
      </c>
      <c r="E4">
        <v>12</v>
      </c>
      <c r="F4">
        <v>15</v>
      </c>
      <c r="G4">
        <v>1</v>
      </c>
      <c r="H4">
        <v>0</v>
      </c>
      <c r="I4">
        <v>2</v>
      </c>
      <c r="J4">
        <v>9</v>
      </c>
      <c r="K4">
        <v>1</v>
      </c>
      <c r="L4">
        <v>2</v>
      </c>
      <c r="M4">
        <v>4</v>
      </c>
      <c r="N4">
        <v>0</v>
      </c>
      <c r="O4">
        <v>3</v>
      </c>
      <c r="P4">
        <v>6</v>
      </c>
      <c r="Q4">
        <v>2</v>
      </c>
    </row>
    <row r="5" spans="1:17">
      <c r="A5" t="s">
        <v>30</v>
      </c>
      <c r="B5">
        <v>9</v>
      </c>
      <c r="C5">
        <v>4</v>
      </c>
      <c r="D5">
        <v>10</v>
      </c>
      <c r="E5">
        <v>371</v>
      </c>
      <c r="F5">
        <v>13</v>
      </c>
      <c r="G5">
        <v>9</v>
      </c>
      <c r="H5">
        <v>2</v>
      </c>
      <c r="I5">
        <v>5</v>
      </c>
      <c r="J5">
        <v>1</v>
      </c>
      <c r="K5">
        <v>5</v>
      </c>
      <c r="L5">
        <v>3</v>
      </c>
      <c r="M5">
        <v>2</v>
      </c>
      <c r="N5">
        <v>6</v>
      </c>
      <c r="O5">
        <v>3</v>
      </c>
      <c r="P5">
        <v>6</v>
      </c>
      <c r="Q5">
        <v>1</v>
      </c>
    </row>
    <row r="6" spans="1:17">
      <c r="A6" t="s">
        <v>28</v>
      </c>
      <c r="B6">
        <v>2</v>
      </c>
      <c r="C6">
        <v>1</v>
      </c>
      <c r="D6">
        <v>32</v>
      </c>
      <c r="E6">
        <v>17</v>
      </c>
      <c r="F6">
        <v>362</v>
      </c>
      <c r="G6">
        <v>12</v>
      </c>
      <c r="H6">
        <v>12</v>
      </c>
      <c r="I6">
        <v>1</v>
      </c>
      <c r="J6">
        <v>0</v>
      </c>
      <c r="K6">
        <v>3</v>
      </c>
      <c r="L6">
        <v>0</v>
      </c>
      <c r="M6">
        <v>0</v>
      </c>
      <c r="N6">
        <v>1</v>
      </c>
      <c r="O6">
        <v>2</v>
      </c>
      <c r="P6">
        <v>4</v>
      </c>
      <c r="Q6">
        <v>1</v>
      </c>
    </row>
    <row r="7" spans="1:17">
      <c r="A7" t="s">
        <v>29</v>
      </c>
      <c r="B7">
        <v>0</v>
      </c>
      <c r="C7">
        <v>6</v>
      </c>
      <c r="D7">
        <v>5</v>
      </c>
      <c r="E7">
        <v>0</v>
      </c>
      <c r="F7">
        <v>35</v>
      </c>
      <c r="G7">
        <v>173</v>
      </c>
      <c r="H7">
        <v>13</v>
      </c>
      <c r="I7">
        <v>1</v>
      </c>
      <c r="J7">
        <v>5</v>
      </c>
      <c r="K7">
        <v>184</v>
      </c>
      <c r="L7">
        <v>5</v>
      </c>
      <c r="M7">
        <v>10</v>
      </c>
      <c r="N7">
        <v>6</v>
      </c>
      <c r="O7">
        <v>2</v>
      </c>
      <c r="P7">
        <v>3</v>
      </c>
      <c r="Q7">
        <v>2</v>
      </c>
    </row>
    <row r="8" spans="1:17">
      <c r="A8" t="s">
        <v>31</v>
      </c>
      <c r="B8">
        <v>1</v>
      </c>
      <c r="C8">
        <v>1</v>
      </c>
      <c r="D8">
        <v>1</v>
      </c>
      <c r="E8">
        <v>2</v>
      </c>
      <c r="F8">
        <v>2</v>
      </c>
      <c r="G8">
        <v>0</v>
      </c>
      <c r="H8">
        <v>385</v>
      </c>
      <c r="I8">
        <v>1</v>
      </c>
      <c r="J8">
        <v>3</v>
      </c>
      <c r="K8">
        <v>19</v>
      </c>
      <c r="L8">
        <v>8</v>
      </c>
      <c r="M8">
        <v>13</v>
      </c>
      <c r="N8">
        <v>8</v>
      </c>
      <c r="O8">
        <v>4</v>
      </c>
      <c r="P8">
        <v>2</v>
      </c>
      <c r="Q8">
        <v>0</v>
      </c>
    </row>
    <row r="9" spans="1:17">
      <c r="A9" t="s">
        <v>32</v>
      </c>
      <c r="B9">
        <v>0</v>
      </c>
      <c r="C9">
        <v>26</v>
      </c>
      <c r="D9">
        <v>0</v>
      </c>
      <c r="E9">
        <v>38</v>
      </c>
      <c r="F9">
        <v>3</v>
      </c>
      <c r="G9">
        <v>0</v>
      </c>
      <c r="H9">
        <v>1</v>
      </c>
      <c r="I9">
        <v>372</v>
      </c>
      <c r="J9">
        <v>0</v>
      </c>
      <c r="K9">
        <v>0</v>
      </c>
      <c r="L9">
        <v>6</v>
      </c>
      <c r="M9">
        <v>1</v>
      </c>
      <c r="N9">
        <v>1</v>
      </c>
      <c r="O9">
        <v>1</v>
      </c>
      <c r="P9">
        <v>1</v>
      </c>
      <c r="Q9">
        <v>0</v>
      </c>
    </row>
    <row r="10" spans="1:17">
      <c r="A10" t="s">
        <v>33</v>
      </c>
      <c r="B10">
        <v>1</v>
      </c>
      <c r="C10">
        <v>4</v>
      </c>
      <c r="D10">
        <v>39</v>
      </c>
      <c r="E10">
        <v>0</v>
      </c>
      <c r="F10">
        <v>26</v>
      </c>
      <c r="G10">
        <v>7</v>
      </c>
      <c r="H10">
        <v>1</v>
      </c>
      <c r="I10">
        <v>0</v>
      </c>
      <c r="J10">
        <v>297</v>
      </c>
      <c r="K10">
        <v>9</v>
      </c>
      <c r="L10">
        <v>1</v>
      </c>
      <c r="M10">
        <v>23</v>
      </c>
      <c r="N10">
        <v>25</v>
      </c>
      <c r="O10">
        <v>5</v>
      </c>
      <c r="P10">
        <v>10</v>
      </c>
      <c r="Q10">
        <v>2</v>
      </c>
    </row>
    <row r="11" spans="1:17">
      <c r="A11" t="s">
        <v>34</v>
      </c>
      <c r="B11">
        <v>0</v>
      </c>
      <c r="C11">
        <v>3</v>
      </c>
      <c r="D11">
        <v>4</v>
      </c>
      <c r="E11">
        <v>2</v>
      </c>
      <c r="F11">
        <v>12</v>
      </c>
      <c r="G11">
        <v>82</v>
      </c>
      <c r="H11">
        <v>16</v>
      </c>
      <c r="I11">
        <v>1</v>
      </c>
      <c r="J11">
        <v>8</v>
      </c>
      <c r="K11">
        <v>254</v>
      </c>
      <c r="L11">
        <v>6</v>
      </c>
      <c r="M11">
        <v>41</v>
      </c>
      <c r="N11">
        <v>13</v>
      </c>
      <c r="O11">
        <v>1</v>
      </c>
      <c r="P11">
        <v>5</v>
      </c>
      <c r="Q11">
        <v>2</v>
      </c>
    </row>
    <row r="12" spans="1:17">
      <c r="A12" t="s">
        <v>35</v>
      </c>
      <c r="B12">
        <v>1</v>
      </c>
      <c r="C12">
        <v>3</v>
      </c>
      <c r="D12">
        <v>1</v>
      </c>
      <c r="E12">
        <v>3</v>
      </c>
      <c r="F12">
        <v>2</v>
      </c>
      <c r="G12">
        <v>2</v>
      </c>
      <c r="H12">
        <v>17</v>
      </c>
      <c r="I12">
        <v>6</v>
      </c>
      <c r="J12">
        <v>1</v>
      </c>
      <c r="K12">
        <v>5</v>
      </c>
      <c r="L12">
        <v>386</v>
      </c>
      <c r="M12">
        <v>10</v>
      </c>
      <c r="N12">
        <v>9</v>
      </c>
      <c r="O12">
        <v>2</v>
      </c>
      <c r="P12">
        <v>2</v>
      </c>
      <c r="Q12">
        <v>0</v>
      </c>
    </row>
    <row r="13" spans="1:17">
      <c r="A13" t="s">
        <v>36</v>
      </c>
      <c r="B13">
        <v>1</v>
      </c>
      <c r="C13">
        <v>1</v>
      </c>
      <c r="D13">
        <v>0</v>
      </c>
      <c r="E13">
        <v>0</v>
      </c>
      <c r="F13">
        <v>0</v>
      </c>
      <c r="G13">
        <v>0</v>
      </c>
      <c r="H13">
        <v>16</v>
      </c>
      <c r="I13">
        <v>0</v>
      </c>
      <c r="J13">
        <v>1</v>
      </c>
      <c r="K13">
        <v>1</v>
      </c>
      <c r="L13">
        <v>8</v>
      </c>
      <c r="M13">
        <v>392</v>
      </c>
      <c r="N13">
        <v>9</v>
      </c>
      <c r="O13">
        <v>13</v>
      </c>
      <c r="P13">
        <v>8</v>
      </c>
      <c r="Q13">
        <v>0</v>
      </c>
    </row>
    <row r="14" spans="1:17">
      <c r="A14" t="s">
        <v>37</v>
      </c>
      <c r="B14">
        <v>2</v>
      </c>
      <c r="C14">
        <v>3</v>
      </c>
      <c r="D14">
        <v>4</v>
      </c>
      <c r="E14">
        <v>3</v>
      </c>
      <c r="F14">
        <v>5</v>
      </c>
      <c r="G14">
        <v>2</v>
      </c>
      <c r="H14">
        <v>7</v>
      </c>
      <c r="I14">
        <v>3</v>
      </c>
      <c r="J14">
        <v>101</v>
      </c>
      <c r="K14">
        <v>3</v>
      </c>
      <c r="L14">
        <v>8</v>
      </c>
      <c r="M14">
        <v>19</v>
      </c>
      <c r="N14">
        <v>240</v>
      </c>
      <c r="O14">
        <v>43</v>
      </c>
      <c r="P14">
        <v>7</v>
      </c>
      <c r="Q14">
        <v>0</v>
      </c>
    </row>
    <row r="15" spans="1:17">
      <c r="A15" t="s">
        <v>38</v>
      </c>
      <c r="B15">
        <v>2</v>
      </c>
      <c r="C15">
        <v>1</v>
      </c>
      <c r="D15">
        <v>2</v>
      </c>
      <c r="E15">
        <v>1</v>
      </c>
      <c r="F15">
        <v>3</v>
      </c>
      <c r="G15">
        <v>0</v>
      </c>
      <c r="H15">
        <v>12</v>
      </c>
      <c r="I15">
        <v>0</v>
      </c>
      <c r="J15">
        <v>10</v>
      </c>
      <c r="K15">
        <v>2</v>
      </c>
      <c r="L15">
        <v>1</v>
      </c>
      <c r="M15">
        <v>10</v>
      </c>
      <c r="N15">
        <v>81</v>
      </c>
      <c r="O15">
        <v>323</v>
      </c>
      <c r="P15">
        <v>1</v>
      </c>
      <c r="Q15">
        <v>1</v>
      </c>
    </row>
    <row r="16" spans="1:17">
      <c r="A16" t="s">
        <v>39</v>
      </c>
      <c r="B16">
        <v>0</v>
      </c>
      <c r="C16">
        <v>3</v>
      </c>
      <c r="D16">
        <v>10</v>
      </c>
      <c r="E16">
        <v>0</v>
      </c>
      <c r="F16">
        <v>1</v>
      </c>
      <c r="G16">
        <v>0</v>
      </c>
      <c r="H16">
        <v>0</v>
      </c>
      <c r="I16">
        <v>1</v>
      </c>
      <c r="J16">
        <v>11</v>
      </c>
      <c r="K16">
        <v>1</v>
      </c>
      <c r="L16">
        <v>2</v>
      </c>
      <c r="M16">
        <v>5</v>
      </c>
      <c r="N16">
        <v>5</v>
      </c>
      <c r="O16">
        <v>5</v>
      </c>
      <c r="P16">
        <v>405</v>
      </c>
      <c r="Q16">
        <v>1</v>
      </c>
    </row>
    <row r="17" spans="1:22">
      <c r="B17">
        <v>433</v>
      </c>
      <c r="C17">
        <v>447</v>
      </c>
      <c r="D17">
        <v>526</v>
      </c>
      <c r="E17">
        <v>457</v>
      </c>
      <c r="F17">
        <v>485</v>
      </c>
      <c r="G17">
        <v>291</v>
      </c>
      <c r="H17">
        <v>484</v>
      </c>
      <c r="I17">
        <v>406</v>
      </c>
      <c r="J17">
        <v>449</v>
      </c>
      <c r="K17">
        <v>492</v>
      </c>
      <c r="L17">
        <v>442</v>
      </c>
      <c r="M17">
        <v>533</v>
      </c>
      <c r="N17">
        <v>409</v>
      </c>
      <c r="O17">
        <v>415</v>
      </c>
      <c r="P17">
        <v>468</v>
      </c>
      <c r="Q17">
        <v>13</v>
      </c>
    </row>
    <row r="19" spans="1:22">
      <c r="A19" t="s">
        <v>24</v>
      </c>
      <c r="B19">
        <f>SUM(B2:B16)</f>
        <v>433</v>
      </c>
      <c r="C19">
        <f t="shared" ref="C19:Q19" si="0">SUM(C2:C16)</f>
        <v>447</v>
      </c>
      <c r="D19">
        <f t="shared" si="0"/>
        <v>526</v>
      </c>
      <c r="E19">
        <f t="shared" si="0"/>
        <v>457</v>
      </c>
      <c r="F19">
        <f t="shared" si="0"/>
        <v>485</v>
      </c>
      <c r="G19">
        <f t="shared" si="0"/>
        <v>291</v>
      </c>
      <c r="H19">
        <f t="shared" si="0"/>
        <v>484</v>
      </c>
      <c r="I19">
        <f t="shared" si="0"/>
        <v>406</v>
      </c>
      <c r="J19">
        <f t="shared" si="0"/>
        <v>449</v>
      </c>
      <c r="K19">
        <f t="shared" si="0"/>
        <v>492</v>
      </c>
      <c r="L19">
        <f t="shared" si="0"/>
        <v>442</v>
      </c>
      <c r="M19">
        <f t="shared" si="0"/>
        <v>533</v>
      </c>
      <c r="N19">
        <f t="shared" si="0"/>
        <v>409</v>
      </c>
      <c r="O19">
        <f t="shared" si="0"/>
        <v>415</v>
      </c>
      <c r="P19">
        <f t="shared" si="0"/>
        <v>468</v>
      </c>
      <c r="Q19">
        <f t="shared" si="0"/>
        <v>13</v>
      </c>
    </row>
    <row r="21" spans="1:22">
      <c r="A21" t="s">
        <v>42</v>
      </c>
      <c r="B21">
        <f>B19-B17</f>
        <v>0</v>
      </c>
      <c r="C21">
        <f t="shared" ref="C21:Q21" si="1">C19-C17</f>
        <v>0</v>
      </c>
      <c r="D21">
        <f t="shared" si="1"/>
        <v>0</v>
      </c>
      <c r="E21">
        <f t="shared" si="1"/>
        <v>0</v>
      </c>
      <c r="F21">
        <f t="shared" si="1"/>
        <v>0</v>
      </c>
      <c r="G21">
        <f t="shared" si="1"/>
        <v>0</v>
      </c>
      <c r="H21">
        <f t="shared" si="1"/>
        <v>0</v>
      </c>
      <c r="I21">
        <f t="shared" si="1"/>
        <v>0</v>
      </c>
      <c r="J21">
        <f t="shared" si="1"/>
        <v>0</v>
      </c>
      <c r="K21">
        <f t="shared" si="1"/>
        <v>0</v>
      </c>
      <c r="L21">
        <f t="shared" si="1"/>
        <v>0</v>
      </c>
      <c r="M21">
        <f t="shared" si="1"/>
        <v>0</v>
      </c>
      <c r="N21">
        <f t="shared" si="1"/>
        <v>0</v>
      </c>
      <c r="O21">
        <f t="shared" si="1"/>
        <v>0</v>
      </c>
      <c r="P21">
        <f t="shared" si="1"/>
        <v>0</v>
      </c>
      <c r="Q21">
        <f t="shared" si="1"/>
        <v>0</v>
      </c>
    </row>
    <row r="23" spans="1:22">
      <c r="A23" s="1"/>
    </row>
    <row r="24" spans="1:22">
      <c r="A24" s="1"/>
    </row>
    <row r="27" spans="1:22">
      <c r="V27" s="4"/>
    </row>
    <row r="32" spans="1:22">
      <c r="A32" t="s">
        <v>47</v>
      </c>
    </row>
  </sheetData>
  <sheetCalcPr fullCalcOnLoad="1"/>
  <phoneticPr fontId="3"/>
  <pageMargins left="0.75" right="0.75" top="1" bottom="1" header="0.5" footer="0.5"/>
  <pageSetup orientation="landscape" horizontalDpi="4294967292" verticalDpi="4294967292"/>
  <extLst>
    <ext xmlns:mx="http://schemas.microsoft.com/office/mac/excel/2008/main" uri="http://schemas.microsoft.com/office/mac/excel/2008/main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V32"/>
  <sheetViews>
    <sheetView workbookViewId="0">
      <selection activeCell="A32" sqref="A32"/>
    </sheetView>
  </sheetViews>
  <sheetFormatPr baseColWidth="10" defaultRowHeight="13"/>
  <cols>
    <col min="1" max="12" width="4.140625" customWidth="1"/>
    <col min="13" max="25" width="4" customWidth="1"/>
  </cols>
  <sheetData>
    <row r="1" spans="1:17">
      <c r="A1" s="2"/>
      <c r="B1" t="s">
        <v>26</v>
      </c>
      <c r="C1" t="s">
        <v>25</v>
      </c>
      <c r="D1" t="s">
        <v>27</v>
      </c>
      <c r="E1" t="s">
        <v>30</v>
      </c>
      <c r="F1" t="s">
        <v>28</v>
      </c>
      <c r="G1" t="s">
        <v>29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  <c r="P1" t="s">
        <v>39</v>
      </c>
      <c r="Q1" t="s">
        <v>22</v>
      </c>
    </row>
    <row r="2" spans="1:17">
      <c r="A2" t="s">
        <v>26</v>
      </c>
      <c r="B2">
        <v>415</v>
      </c>
      <c r="C2">
        <v>3</v>
      </c>
      <c r="D2">
        <v>4</v>
      </c>
      <c r="E2">
        <v>4</v>
      </c>
      <c r="F2">
        <v>0</v>
      </c>
      <c r="G2">
        <v>0</v>
      </c>
      <c r="H2">
        <v>1</v>
      </c>
      <c r="I2">
        <v>5</v>
      </c>
      <c r="J2">
        <v>2</v>
      </c>
      <c r="K2">
        <v>0</v>
      </c>
      <c r="L2">
        <v>0</v>
      </c>
      <c r="M2">
        <v>2</v>
      </c>
      <c r="N2">
        <v>0</v>
      </c>
      <c r="O2">
        <v>8</v>
      </c>
      <c r="P2">
        <v>5</v>
      </c>
      <c r="Q2">
        <v>1</v>
      </c>
    </row>
    <row r="3" spans="1:17">
      <c r="A3" t="s">
        <v>25</v>
      </c>
      <c r="B3">
        <v>8</v>
      </c>
      <c r="C3">
        <v>265</v>
      </c>
      <c r="D3">
        <v>34</v>
      </c>
      <c r="E3">
        <v>9</v>
      </c>
      <c r="F3">
        <v>5</v>
      </c>
      <c r="G3">
        <v>0</v>
      </c>
      <c r="H3">
        <v>6</v>
      </c>
      <c r="I3">
        <v>5</v>
      </c>
      <c r="J3">
        <v>18</v>
      </c>
      <c r="K3">
        <v>5</v>
      </c>
      <c r="L3">
        <v>7</v>
      </c>
      <c r="M3">
        <v>6</v>
      </c>
      <c r="N3">
        <v>43</v>
      </c>
      <c r="O3">
        <v>28</v>
      </c>
      <c r="P3">
        <v>9</v>
      </c>
      <c r="Q3">
        <v>2</v>
      </c>
    </row>
    <row r="4" spans="1:17">
      <c r="A4" t="s">
        <v>27</v>
      </c>
      <c r="B4">
        <v>5</v>
      </c>
      <c r="C4">
        <v>35</v>
      </c>
      <c r="D4">
        <v>299</v>
      </c>
      <c r="E4">
        <v>28</v>
      </c>
      <c r="F4">
        <v>36</v>
      </c>
      <c r="G4">
        <v>7</v>
      </c>
      <c r="H4">
        <v>2</v>
      </c>
      <c r="I4">
        <v>5</v>
      </c>
      <c r="J4">
        <v>7</v>
      </c>
      <c r="K4">
        <v>2</v>
      </c>
      <c r="L4">
        <v>2</v>
      </c>
      <c r="M4">
        <v>5</v>
      </c>
      <c r="N4">
        <v>5</v>
      </c>
      <c r="O4">
        <v>3</v>
      </c>
      <c r="P4">
        <v>7</v>
      </c>
      <c r="Q4">
        <v>2</v>
      </c>
    </row>
    <row r="5" spans="1:17">
      <c r="A5" t="s">
        <v>30</v>
      </c>
      <c r="B5">
        <v>9</v>
      </c>
      <c r="C5">
        <v>6</v>
      </c>
      <c r="D5">
        <v>11</v>
      </c>
      <c r="E5">
        <v>372</v>
      </c>
      <c r="F5">
        <v>15</v>
      </c>
      <c r="G5">
        <v>3</v>
      </c>
      <c r="H5">
        <v>0</v>
      </c>
      <c r="I5">
        <v>4</v>
      </c>
      <c r="J5">
        <v>1</v>
      </c>
      <c r="K5">
        <v>0</v>
      </c>
      <c r="L5">
        <v>3</v>
      </c>
      <c r="M5">
        <v>14</v>
      </c>
      <c r="N5">
        <v>4</v>
      </c>
      <c r="O5">
        <v>3</v>
      </c>
      <c r="P5">
        <v>4</v>
      </c>
      <c r="Q5">
        <v>1</v>
      </c>
    </row>
    <row r="6" spans="1:17">
      <c r="A6" t="s">
        <v>28</v>
      </c>
      <c r="B6">
        <v>2</v>
      </c>
      <c r="C6">
        <v>3</v>
      </c>
      <c r="D6">
        <v>36</v>
      </c>
      <c r="E6">
        <v>7</v>
      </c>
      <c r="F6">
        <v>354</v>
      </c>
      <c r="G6">
        <v>7</v>
      </c>
      <c r="H6">
        <v>12</v>
      </c>
      <c r="I6">
        <v>2</v>
      </c>
      <c r="J6">
        <v>4</v>
      </c>
      <c r="K6">
        <v>13</v>
      </c>
      <c r="L6">
        <v>1</v>
      </c>
      <c r="M6">
        <v>3</v>
      </c>
      <c r="N6">
        <v>0</v>
      </c>
      <c r="O6">
        <v>1</v>
      </c>
      <c r="P6">
        <v>5</v>
      </c>
      <c r="Q6">
        <v>0</v>
      </c>
    </row>
    <row r="7" spans="1:17">
      <c r="A7" t="s">
        <v>29</v>
      </c>
      <c r="B7">
        <v>0</v>
      </c>
      <c r="C7">
        <v>1</v>
      </c>
      <c r="D7">
        <v>4</v>
      </c>
      <c r="E7">
        <v>5</v>
      </c>
      <c r="F7">
        <v>41</v>
      </c>
      <c r="G7">
        <v>170</v>
      </c>
      <c r="H7">
        <v>29</v>
      </c>
      <c r="I7">
        <v>15</v>
      </c>
      <c r="J7">
        <v>16</v>
      </c>
      <c r="K7">
        <v>109</v>
      </c>
      <c r="L7">
        <v>7</v>
      </c>
      <c r="M7">
        <v>22</v>
      </c>
      <c r="N7">
        <v>21</v>
      </c>
      <c r="O7">
        <v>2</v>
      </c>
      <c r="P7">
        <v>3</v>
      </c>
      <c r="Q7">
        <v>5</v>
      </c>
    </row>
    <row r="8" spans="1:17">
      <c r="A8" t="s">
        <v>31</v>
      </c>
      <c r="B8">
        <v>0</v>
      </c>
      <c r="C8">
        <v>0</v>
      </c>
      <c r="D8">
        <v>2</v>
      </c>
      <c r="E8">
        <v>2</v>
      </c>
      <c r="F8">
        <v>8</v>
      </c>
      <c r="G8">
        <v>1</v>
      </c>
      <c r="H8">
        <v>399</v>
      </c>
      <c r="I8">
        <v>3</v>
      </c>
      <c r="J8">
        <v>0</v>
      </c>
      <c r="K8">
        <v>17</v>
      </c>
      <c r="L8">
        <v>5</v>
      </c>
      <c r="M8">
        <v>5</v>
      </c>
      <c r="N8">
        <v>3</v>
      </c>
      <c r="O8">
        <v>3</v>
      </c>
      <c r="P8">
        <v>1</v>
      </c>
      <c r="Q8">
        <v>1</v>
      </c>
    </row>
    <row r="9" spans="1:17">
      <c r="A9" t="s">
        <v>32</v>
      </c>
      <c r="B9">
        <v>2</v>
      </c>
      <c r="C9">
        <v>16</v>
      </c>
      <c r="D9">
        <v>1</v>
      </c>
      <c r="E9">
        <v>24</v>
      </c>
      <c r="F9">
        <v>7</v>
      </c>
      <c r="G9">
        <v>5</v>
      </c>
      <c r="H9">
        <v>0</v>
      </c>
      <c r="I9">
        <v>370</v>
      </c>
      <c r="J9">
        <v>6</v>
      </c>
      <c r="K9">
        <v>4</v>
      </c>
      <c r="L9">
        <v>5</v>
      </c>
      <c r="M9">
        <v>0</v>
      </c>
      <c r="N9">
        <v>4</v>
      </c>
      <c r="O9">
        <v>2</v>
      </c>
      <c r="P9">
        <v>4</v>
      </c>
      <c r="Q9">
        <v>0</v>
      </c>
    </row>
    <row r="10" spans="1:17">
      <c r="A10" t="s">
        <v>33</v>
      </c>
      <c r="B10">
        <v>0</v>
      </c>
      <c r="C10">
        <v>8</v>
      </c>
      <c r="D10">
        <v>28</v>
      </c>
      <c r="E10">
        <v>2</v>
      </c>
      <c r="F10">
        <v>36</v>
      </c>
      <c r="G10">
        <v>21</v>
      </c>
      <c r="H10">
        <v>13</v>
      </c>
      <c r="I10">
        <v>2</v>
      </c>
      <c r="J10">
        <v>253</v>
      </c>
      <c r="K10">
        <v>6</v>
      </c>
      <c r="L10">
        <v>7</v>
      </c>
      <c r="M10">
        <v>35</v>
      </c>
      <c r="N10">
        <v>14</v>
      </c>
      <c r="O10">
        <v>9</v>
      </c>
      <c r="P10">
        <v>13</v>
      </c>
      <c r="Q10">
        <v>3</v>
      </c>
    </row>
    <row r="11" spans="1:17">
      <c r="A11" t="s">
        <v>34</v>
      </c>
      <c r="B11">
        <v>1</v>
      </c>
      <c r="C11">
        <v>1</v>
      </c>
      <c r="D11">
        <v>1</v>
      </c>
      <c r="E11">
        <v>0</v>
      </c>
      <c r="F11">
        <v>13</v>
      </c>
      <c r="G11">
        <v>54</v>
      </c>
      <c r="H11">
        <v>14</v>
      </c>
      <c r="I11">
        <v>0</v>
      </c>
      <c r="J11">
        <v>8</v>
      </c>
      <c r="K11">
        <v>294</v>
      </c>
      <c r="L11">
        <v>11</v>
      </c>
      <c r="M11">
        <v>35</v>
      </c>
      <c r="N11">
        <v>9</v>
      </c>
      <c r="O11">
        <v>1</v>
      </c>
      <c r="P11">
        <v>4</v>
      </c>
      <c r="Q11">
        <v>4</v>
      </c>
    </row>
    <row r="12" spans="1:17">
      <c r="A12" t="s">
        <v>35</v>
      </c>
      <c r="B12">
        <v>3</v>
      </c>
      <c r="C12">
        <v>8</v>
      </c>
      <c r="D12">
        <v>6</v>
      </c>
      <c r="E12">
        <v>13</v>
      </c>
      <c r="F12">
        <v>4</v>
      </c>
      <c r="G12">
        <v>1</v>
      </c>
      <c r="H12">
        <v>6</v>
      </c>
      <c r="I12">
        <v>7</v>
      </c>
      <c r="J12">
        <v>13</v>
      </c>
      <c r="K12">
        <v>2</v>
      </c>
      <c r="L12">
        <v>292</v>
      </c>
      <c r="M12">
        <v>27</v>
      </c>
      <c r="N12">
        <v>48</v>
      </c>
      <c r="O12">
        <v>9</v>
      </c>
      <c r="P12">
        <v>11</v>
      </c>
      <c r="Q12">
        <v>0</v>
      </c>
    </row>
    <row r="13" spans="1:17">
      <c r="A13" t="s">
        <v>36</v>
      </c>
      <c r="B13">
        <v>2</v>
      </c>
      <c r="C13">
        <v>3</v>
      </c>
      <c r="D13">
        <v>4</v>
      </c>
      <c r="E13">
        <v>15</v>
      </c>
      <c r="F13">
        <v>4</v>
      </c>
      <c r="G13">
        <v>1</v>
      </c>
      <c r="H13">
        <v>26</v>
      </c>
      <c r="I13">
        <v>1</v>
      </c>
      <c r="J13">
        <v>14</v>
      </c>
      <c r="K13">
        <v>4</v>
      </c>
      <c r="L13">
        <v>56</v>
      </c>
      <c r="M13">
        <v>272</v>
      </c>
      <c r="N13">
        <v>13</v>
      </c>
      <c r="O13">
        <v>8</v>
      </c>
      <c r="P13">
        <v>25</v>
      </c>
      <c r="Q13">
        <v>2</v>
      </c>
    </row>
    <row r="14" spans="1:17">
      <c r="A14" t="s">
        <v>37</v>
      </c>
      <c r="B14">
        <v>1</v>
      </c>
      <c r="C14">
        <v>26</v>
      </c>
      <c r="D14">
        <v>23</v>
      </c>
      <c r="E14">
        <v>3</v>
      </c>
      <c r="F14">
        <v>2</v>
      </c>
      <c r="G14">
        <v>1</v>
      </c>
      <c r="H14">
        <v>5</v>
      </c>
      <c r="I14">
        <v>1</v>
      </c>
      <c r="J14">
        <v>84</v>
      </c>
      <c r="K14">
        <v>5</v>
      </c>
      <c r="L14">
        <v>4</v>
      </c>
      <c r="M14">
        <v>13</v>
      </c>
      <c r="N14">
        <v>206</v>
      </c>
      <c r="O14">
        <v>43</v>
      </c>
      <c r="P14">
        <v>28</v>
      </c>
      <c r="Q14">
        <v>5</v>
      </c>
    </row>
    <row r="15" spans="1:17">
      <c r="A15" t="s">
        <v>38</v>
      </c>
      <c r="B15">
        <v>55</v>
      </c>
      <c r="C15">
        <v>15</v>
      </c>
      <c r="D15">
        <v>13</v>
      </c>
      <c r="E15">
        <v>3</v>
      </c>
      <c r="F15">
        <v>4</v>
      </c>
      <c r="G15">
        <v>1</v>
      </c>
      <c r="H15">
        <v>5</v>
      </c>
      <c r="I15">
        <v>4</v>
      </c>
      <c r="J15">
        <v>10</v>
      </c>
      <c r="K15">
        <v>1</v>
      </c>
      <c r="L15">
        <v>2</v>
      </c>
      <c r="M15">
        <v>4</v>
      </c>
      <c r="N15">
        <v>104</v>
      </c>
      <c r="O15">
        <v>224</v>
      </c>
      <c r="P15">
        <v>5</v>
      </c>
      <c r="Q15">
        <v>0</v>
      </c>
    </row>
    <row r="16" spans="1:17">
      <c r="A16" t="s">
        <v>39</v>
      </c>
      <c r="B16">
        <v>1</v>
      </c>
      <c r="C16">
        <v>7</v>
      </c>
      <c r="D16">
        <v>27</v>
      </c>
      <c r="E16">
        <v>2</v>
      </c>
      <c r="F16">
        <v>2</v>
      </c>
      <c r="G16">
        <v>1</v>
      </c>
      <c r="H16">
        <v>2</v>
      </c>
      <c r="I16">
        <v>3</v>
      </c>
      <c r="J16">
        <v>31</v>
      </c>
      <c r="K16">
        <v>4</v>
      </c>
      <c r="L16">
        <v>17</v>
      </c>
      <c r="M16">
        <v>13</v>
      </c>
      <c r="N16">
        <v>12</v>
      </c>
      <c r="O16">
        <v>4</v>
      </c>
      <c r="P16">
        <v>322</v>
      </c>
      <c r="Q16">
        <v>2</v>
      </c>
    </row>
    <row r="17" spans="1:22">
      <c r="B17">
        <v>504</v>
      </c>
      <c r="C17">
        <v>397</v>
      </c>
      <c r="D17">
        <v>493</v>
      </c>
      <c r="E17">
        <v>489</v>
      </c>
      <c r="F17">
        <v>531</v>
      </c>
      <c r="G17">
        <v>273</v>
      </c>
      <c r="H17">
        <v>520</v>
      </c>
      <c r="I17">
        <v>427</v>
      </c>
      <c r="J17">
        <v>467</v>
      </c>
      <c r="K17">
        <v>466</v>
      </c>
      <c r="L17">
        <v>419</v>
      </c>
      <c r="M17">
        <v>456</v>
      </c>
      <c r="N17">
        <v>486</v>
      </c>
      <c r="O17">
        <v>348</v>
      </c>
      <c r="P17">
        <v>446</v>
      </c>
      <c r="Q17">
        <v>28</v>
      </c>
    </row>
    <row r="19" spans="1:22">
      <c r="A19" t="s">
        <v>24</v>
      </c>
      <c r="B19">
        <f>SUM(B2:B16)</f>
        <v>504</v>
      </c>
      <c r="C19">
        <f t="shared" ref="C19:Q19" si="0">SUM(C2:C16)</f>
        <v>397</v>
      </c>
      <c r="D19">
        <f t="shared" si="0"/>
        <v>493</v>
      </c>
      <c r="E19">
        <f t="shared" si="0"/>
        <v>489</v>
      </c>
      <c r="F19">
        <f t="shared" si="0"/>
        <v>531</v>
      </c>
      <c r="G19">
        <f t="shared" si="0"/>
        <v>273</v>
      </c>
      <c r="H19">
        <f t="shared" si="0"/>
        <v>520</v>
      </c>
      <c r="I19">
        <f t="shared" si="0"/>
        <v>427</v>
      </c>
      <c r="J19">
        <f t="shared" si="0"/>
        <v>467</v>
      </c>
      <c r="K19">
        <f t="shared" si="0"/>
        <v>466</v>
      </c>
      <c r="L19">
        <f t="shared" si="0"/>
        <v>419</v>
      </c>
      <c r="M19">
        <f t="shared" si="0"/>
        <v>456</v>
      </c>
      <c r="N19">
        <f t="shared" si="0"/>
        <v>486</v>
      </c>
      <c r="O19">
        <f t="shared" si="0"/>
        <v>348</v>
      </c>
      <c r="P19">
        <f t="shared" si="0"/>
        <v>446</v>
      </c>
      <c r="Q19">
        <f t="shared" si="0"/>
        <v>28</v>
      </c>
    </row>
    <row r="21" spans="1:22">
      <c r="A21" t="s">
        <v>42</v>
      </c>
      <c r="B21">
        <f>B19-B17</f>
        <v>0</v>
      </c>
      <c r="C21">
        <f t="shared" ref="C21:Q21" si="1">C19-C17</f>
        <v>0</v>
      </c>
      <c r="D21">
        <f t="shared" si="1"/>
        <v>0</v>
      </c>
      <c r="E21">
        <f t="shared" si="1"/>
        <v>0</v>
      </c>
      <c r="F21">
        <f t="shared" si="1"/>
        <v>0</v>
      </c>
      <c r="G21">
        <f t="shared" si="1"/>
        <v>0</v>
      </c>
      <c r="H21">
        <f t="shared" si="1"/>
        <v>0</v>
      </c>
      <c r="I21">
        <f t="shared" si="1"/>
        <v>0</v>
      </c>
      <c r="J21">
        <f t="shared" si="1"/>
        <v>0</v>
      </c>
      <c r="K21">
        <f t="shared" si="1"/>
        <v>0</v>
      </c>
      <c r="L21">
        <f t="shared" si="1"/>
        <v>0</v>
      </c>
      <c r="M21">
        <f t="shared" si="1"/>
        <v>0</v>
      </c>
      <c r="N21">
        <f t="shared" si="1"/>
        <v>0</v>
      </c>
      <c r="O21">
        <f t="shared" si="1"/>
        <v>0</v>
      </c>
      <c r="P21">
        <f t="shared" si="1"/>
        <v>0</v>
      </c>
      <c r="Q21">
        <f t="shared" si="1"/>
        <v>0</v>
      </c>
    </row>
    <row r="23" spans="1:22">
      <c r="A23" s="1"/>
    </row>
    <row r="24" spans="1:22">
      <c r="A24" s="1"/>
    </row>
    <row r="27" spans="1:22">
      <c r="V27" s="4"/>
    </row>
    <row r="32" spans="1:22">
      <c r="A32" t="s">
        <v>48</v>
      </c>
    </row>
  </sheetData>
  <sheetCalcPr fullCalcOnLoad="1"/>
  <phoneticPr fontId="3"/>
  <pageMargins left="0.75" right="0.75" top="1" bottom="1" header="0.5" footer="0.5"/>
  <pageSetup orientation="landscape" horizontalDpi="4294967292" verticalDpi="4294967292"/>
  <extLst>
    <ext xmlns:mx="http://schemas.microsoft.com/office/mac/excel/2008/main" uri="http://schemas.microsoft.com/office/mac/excel/2008/main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V32"/>
  <sheetViews>
    <sheetView workbookViewId="0">
      <selection activeCell="A32" sqref="A32"/>
    </sheetView>
  </sheetViews>
  <sheetFormatPr baseColWidth="10" defaultRowHeight="13"/>
  <cols>
    <col min="1" max="12" width="4.140625" customWidth="1"/>
    <col min="13" max="25" width="4" customWidth="1"/>
  </cols>
  <sheetData>
    <row r="1" spans="1:17">
      <c r="A1" s="2"/>
      <c r="B1" t="s">
        <v>26</v>
      </c>
      <c r="C1" t="s">
        <v>25</v>
      </c>
      <c r="D1" t="s">
        <v>27</v>
      </c>
      <c r="E1" t="s">
        <v>30</v>
      </c>
      <c r="F1" t="s">
        <v>28</v>
      </c>
      <c r="G1" t="s">
        <v>29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  <c r="P1" t="s">
        <v>39</v>
      </c>
      <c r="Q1" t="s">
        <v>22</v>
      </c>
    </row>
    <row r="2" spans="1:17">
      <c r="A2" t="s">
        <v>26</v>
      </c>
      <c r="B2">
        <v>290</v>
      </c>
      <c r="C2">
        <v>21</v>
      </c>
      <c r="D2">
        <v>17</v>
      </c>
      <c r="E2">
        <v>2</v>
      </c>
      <c r="F2">
        <v>3</v>
      </c>
      <c r="G2">
        <v>2</v>
      </c>
      <c r="H2">
        <v>3</v>
      </c>
      <c r="I2">
        <v>5</v>
      </c>
      <c r="J2">
        <v>11</v>
      </c>
      <c r="K2">
        <v>3</v>
      </c>
      <c r="L2">
        <v>1</v>
      </c>
      <c r="M2">
        <v>4</v>
      </c>
      <c r="N2">
        <v>20</v>
      </c>
      <c r="O2">
        <v>57</v>
      </c>
      <c r="P2">
        <v>7</v>
      </c>
    </row>
    <row r="3" spans="1:17">
      <c r="A3" t="s">
        <v>25</v>
      </c>
      <c r="B3">
        <v>43</v>
      </c>
      <c r="C3">
        <v>189</v>
      </c>
      <c r="D3">
        <v>42</v>
      </c>
      <c r="E3">
        <v>23</v>
      </c>
      <c r="F3">
        <v>12</v>
      </c>
      <c r="G3">
        <v>2</v>
      </c>
      <c r="H3">
        <v>2</v>
      </c>
      <c r="I3">
        <v>5</v>
      </c>
      <c r="J3">
        <v>20</v>
      </c>
      <c r="K3">
        <v>0</v>
      </c>
      <c r="L3">
        <v>11</v>
      </c>
      <c r="M3">
        <v>4</v>
      </c>
      <c r="N3">
        <v>62</v>
      </c>
      <c r="O3">
        <v>15</v>
      </c>
      <c r="P3">
        <v>16</v>
      </c>
    </row>
    <row r="4" spans="1:17">
      <c r="A4" t="s">
        <v>27</v>
      </c>
      <c r="B4">
        <v>5</v>
      </c>
      <c r="C4">
        <v>27</v>
      </c>
      <c r="D4">
        <v>177</v>
      </c>
      <c r="E4">
        <v>62</v>
      </c>
      <c r="F4">
        <v>37</v>
      </c>
      <c r="G4">
        <v>11</v>
      </c>
      <c r="H4">
        <v>5</v>
      </c>
      <c r="I4">
        <v>5</v>
      </c>
      <c r="J4">
        <v>27</v>
      </c>
      <c r="K4">
        <v>15</v>
      </c>
      <c r="L4">
        <v>4</v>
      </c>
      <c r="M4">
        <v>19</v>
      </c>
      <c r="N4">
        <v>27</v>
      </c>
      <c r="O4">
        <v>8</v>
      </c>
      <c r="P4">
        <v>20</v>
      </c>
    </row>
    <row r="5" spans="1:17">
      <c r="A5" t="s">
        <v>30</v>
      </c>
      <c r="B5">
        <v>15</v>
      </c>
      <c r="C5">
        <v>11</v>
      </c>
      <c r="D5">
        <v>44</v>
      </c>
      <c r="E5">
        <v>229</v>
      </c>
      <c r="F5">
        <v>30</v>
      </c>
      <c r="G5">
        <v>8</v>
      </c>
      <c r="H5">
        <v>4</v>
      </c>
      <c r="I5">
        <v>4</v>
      </c>
      <c r="J5">
        <v>5</v>
      </c>
      <c r="K5">
        <v>5</v>
      </c>
      <c r="L5">
        <v>20</v>
      </c>
      <c r="M5">
        <v>43</v>
      </c>
      <c r="N5">
        <v>9</v>
      </c>
      <c r="O5">
        <v>6</v>
      </c>
      <c r="P5">
        <v>15</v>
      </c>
    </row>
    <row r="6" spans="1:17">
      <c r="A6" t="s">
        <v>28</v>
      </c>
      <c r="B6">
        <v>1</v>
      </c>
      <c r="C6">
        <v>6</v>
      </c>
      <c r="D6">
        <v>56</v>
      </c>
      <c r="E6">
        <v>9</v>
      </c>
      <c r="F6">
        <v>295</v>
      </c>
      <c r="G6">
        <v>11</v>
      </c>
      <c r="H6">
        <v>31</v>
      </c>
      <c r="I6">
        <v>13</v>
      </c>
      <c r="J6">
        <v>6</v>
      </c>
      <c r="K6">
        <v>14</v>
      </c>
      <c r="L6">
        <v>1</v>
      </c>
      <c r="M6">
        <v>2</v>
      </c>
      <c r="N6">
        <v>0</v>
      </c>
      <c r="O6">
        <v>0</v>
      </c>
      <c r="P6">
        <v>1</v>
      </c>
    </row>
    <row r="7" spans="1:17">
      <c r="A7" t="s">
        <v>29</v>
      </c>
      <c r="B7">
        <v>1</v>
      </c>
      <c r="C7">
        <v>10</v>
      </c>
      <c r="D7">
        <v>3</v>
      </c>
      <c r="E7">
        <v>8</v>
      </c>
      <c r="F7">
        <v>41</v>
      </c>
      <c r="G7">
        <v>116</v>
      </c>
      <c r="H7">
        <v>24</v>
      </c>
      <c r="I7">
        <v>54</v>
      </c>
      <c r="J7">
        <v>13</v>
      </c>
      <c r="K7">
        <v>137</v>
      </c>
      <c r="L7">
        <v>6</v>
      </c>
      <c r="M7">
        <v>11</v>
      </c>
      <c r="N7">
        <v>12</v>
      </c>
      <c r="O7">
        <v>2</v>
      </c>
      <c r="P7">
        <v>11</v>
      </c>
    </row>
    <row r="8" spans="1:17">
      <c r="A8" t="s">
        <v>31</v>
      </c>
      <c r="B8">
        <v>0</v>
      </c>
      <c r="C8">
        <v>4</v>
      </c>
      <c r="D8">
        <v>15</v>
      </c>
      <c r="E8">
        <v>5</v>
      </c>
      <c r="F8">
        <v>81</v>
      </c>
      <c r="G8">
        <v>22</v>
      </c>
      <c r="H8">
        <v>219</v>
      </c>
      <c r="I8">
        <v>41</v>
      </c>
      <c r="J8">
        <v>14</v>
      </c>
      <c r="K8">
        <v>19</v>
      </c>
      <c r="L8">
        <v>9</v>
      </c>
      <c r="M8">
        <v>7</v>
      </c>
      <c r="N8">
        <v>6</v>
      </c>
      <c r="O8">
        <v>4</v>
      </c>
      <c r="P8">
        <v>1</v>
      </c>
    </row>
    <row r="9" spans="1:17">
      <c r="A9" t="s">
        <v>32</v>
      </c>
      <c r="B9">
        <v>0</v>
      </c>
      <c r="C9">
        <v>4</v>
      </c>
      <c r="D9">
        <v>4</v>
      </c>
      <c r="E9">
        <v>5</v>
      </c>
      <c r="F9">
        <v>31</v>
      </c>
      <c r="G9">
        <v>31</v>
      </c>
      <c r="H9">
        <v>59</v>
      </c>
      <c r="I9">
        <v>233</v>
      </c>
      <c r="J9">
        <v>6</v>
      </c>
      <c r="K9">
        <v>56</v>
      </c>
      <c r="L9">
        <v>5</v>
      </c>
      <c r="M9">
        <v>4</v>
      </c>
      <c r="N9">
        <v>4</v>
      </c>
      <c r="O9">
        <v>1</v>
      </c>
      <c r="P9">
        <v>6</v>
      </c>
    </row>
    <row r="10" spans="1:17">
      <c r="A10" t="s">
        <v>33</v>
      </c>
      <c r="B10">
        <v>4</v>
      </c>
      <c r="C10">
        <v>17</v>
      </c>
      <c r="D10">
        <v>71</v>
      </c>
      <c r="E10">
        <v>28</v>
      </c>
      <c r="F10">
        <v>34</v>
      </c>
      <c r="G10">
        <v>15</v>
      </c>
      <c r="H10">
        <v>26</v>
      </c>
      <c r="I10">
        <v>22</v>
      </c>
      <c r="J10">
        <v>119</v>
      </c>
      <c r="K10">
        <v>20</v>
      </c>
      <c r="L10">
        <v>8</v>
      </c>
      <c r="M10">
        <v>39</v>
      </c>
      <c r="N10">
        <v>23</v>
      </c>
      <c r="O10">
        <v>4</v>
      </c>
      <c r="P10">
        <v>17</v>
      </c>
    </row>
    <row r="11" spans="1:17">
      <c r="A11" t="s">
        <v>34</v>
      </c>
      <c r="B11">
        <v>2</v>
      </c>
      <c r="C11">
        <v>7</v>
      </c>
      <c r="D11">
        <v>13</v>
      </c>
      <c r="E11">
        <v>8</v>
      </c>
      <c r="F11">
        <v>41</v>
      </c>
      <c r="G11">
        <v>56</v>
      </c>
      <c r="H11">
        <v>27</v>
      </c>
      <c r="I11">
        <v>10</v>
      </c>
      <c r="J11">
        <v>14</v>
      </c>
      <c r="K11">
        <v>131</v>
      </c>
      <c r="L11">
        <v>54</v>
      </c>
      <c r="M11">
        <v>54</v>
      </c>
      <c r="N11">
        <v>15</v>
      </c>
      <c r="O11">
        <v>1</v>
      </c>
      <c r="P11">
        <v>10</v>
      </c>
    </row>
    <row r="12" spans="1:17">
      <c r="A12" t="s">
        <v>35</v>
      </c>
      <c r="B12">
        <v>4</v>
      </c>
      <c r="C12">
        <v>32</v>
      </c>
      <c r="D12">
        <v>42</v>
      </c>
      <c r="E12">
        <v>127</v>
      </c>
      <c r="F12">
        <v>20</v>
      </c>
      <c r="G12">
        <v>9</v>
      </c>
      <c r="H12">
        <v>5</v>
      </c>
      <c r="I12">
        <v>2</v>
      </c>
      <c r="J12">
        <v>20</v>
      </c>
      <c r="K12">
        <v>4</v>
      </c>
      <c r="L12">
        <v>34</v>
      </c>
      <c r="M12">
        <v>67</v>
      </c>
      <c r="N12">
        <v>39</v>
      </c>
      <c r="O12">
        <v>11</v>
      </c>
      <c r="P12">
        <v>31</v>
      </c>
    </row>
    <row r="13" spans="1:17">
      <c r="A13" t="s">
        <v>36</v>
      </c>
      <c r="B13">
        <v>6</v>
      </c>
      <c r="C13">
        <v>13</v>
      </c>
      <c r="D13">
        <v>23</v>
      </c>
      <c r="E13">
        <v>187</v>
      </c>
      <c r="F13">
        <v>29</v>
      </c>
      <c r="G13">
        <v>6</v>
      </c>
      <c r="H13">
        <v>6</v>
      </c>
      <c r="I13">
        <v>6</v>
      </c>
      <c r="J13">
        <v>18</v>
      </c>
      <c r="K13">
        <v>9</v>
      </c>
      <c r="L13">
        <v>23</v>
      </c>
      <c r="M13">
        <v>88</v>
      </c>
      <c r="N13">
        <v>14</v>
      </c>
      <c r="O13">
        <v>7</v>
      </c>
      <c r="P13">
        <v>12</v>
      </c>
    </row>
    <row r="14" spans="1:17">
      <c r="A14" t="s">
        <v>37</v>
      </c>
      <c r="B14">
        <v>13</v>
      </c>
      <c r="C14">
        <v>191</v>
      </c>
      <c r="D14">
        <v>44</v>
      </c>
      <c r="E14">
        <v>18</v>
      </c>
      <c r="F14">
        <v>5</v>
      </c>
      <c r="G14">
        <v>4</v>
      </c>
      <c r="H14">
        <v>4</v>
      </c>
      <c r="I14">
        <v>5</v>
      </c>
      <c r="J14">
        <v>33</v>
      </c>
      <c r="K14">
        <v>4</v>
      </c>
      <c r="L14">
        <v>10</v>
      </c>
      <c r="M14">
        <v>7</v>
      </c>
      <c r="N14">
        <v>57</v>
      </c>
      <c r="O14">
        <v>23</v>
      </c>
      <c r="P14">
        <v>27</v>
      </c>
    </row>
    <row r="15" spans="1:17">
      <c r="A15" t="s">
        <v>38</v>
      </c>
      <c r="B15">
        <v>253</v>
      </c>
      <c r="C15">
        <v>28</v>
      </c>
      <c r="D15">
        <v>12</v>
      </c>
      <c r="E15">
        <v>8</v>
      </c>
      <c r="F15">
        <v>5</v>
      </c>
      <c r="G15">
        <v>0</v>
      </c>
      <c r="H15">
        <v>1</v>
      </c>
      <c r="I15">
        <v>7</v>
      </c>
      <c r="J15">
        <v>20</v>
      </c>
      <c r="K15">
        <v>0</v>
      </c>
      <c r="L15">
        <v>4</v>
      </c>
      <c r="M15">
        <v>2</v>
      </c>
      <c r="N15">
        <v>29</v>
      </c>
      <c r="O15">
        <v>74</v>
      </c>
      <c r="P15">
        <v>6</v>
      </c>
    </row>
    <row r="16" spans="1:17">
      <c r="A16" t="s">
        <v>39</v>
      </c>
      <c r="B16">
        <v>2</v>
      </c>
      <c r="C16">
        <v>29</v>
      </c>
      <c r="D16">
        <v>41</v>
      </c>
      <c r="E16">
        <v>107</v>
      </c>
      <c r="F16">
        <v>29</v>
      </c>
      <c r="G16">
        <v>10</v>
      </c>
      <c r="H16">
        <v>5</v>
      </c>
      <c r="I16">
        <v>6</v>
      </c>
      <c r="J16">
        <v>39</v>
      </c>
      <c r="K16">
        <v>5</v>
      </c>
      <c r="L16">
        <v>21</v>
      </c>
      <c r="M16">
        <v>43</v>
      </c>
      <c r="N16">
        <v>54</v>
      </c>
      <c r="O16">
        <v>16</v>
      </c>
      <c r="P16">
        <v>42</v>
      </c>
    </row>
    <row r="17" spans="1:22">
      <c r="B17">
        <v>639</v>
      </c>
      <c r="C17">
        <v>589</v>
      </c>
      <c r="D17">
        <v>604</v>
      </c>
      <c r="E17">
        <v>826</v>
      </c>
      <c r="F17">
        <v>693</v>
      </c>
      <c r="G17">
        <v>303</v>
      </c>
      <c r="H17">
        <v>421</v>
      </c>
      <c r="I17">
        <v>418</v>
      </c>
      <c r="J17">
        <v>365</v>
      </c>
      <c r="K17">
        <v>422</v>
      </c>
      <c r="L17">
        <v>211</v>
      </c>
      <c r="M17">
        <v>394</v>
      </c>
      <c r="N17">
        <v>371</v>
      </c>
      <c r="O17">
        <v>229</v>
      </c>
      <c r="P17">
        <v>222</v>
      </c>
    </row>
    <row r="19" spans="1:22">
      <c r="A19" t="s">
        <v>24</v>
      </c>
      <c r="B19">
        <f>SUM(B2:B16)</f>
        <v>639</v>
      </c>
      <c r="C19">
        <f t="shared" ref="C19:P19" si="0">SUM(C2:C16)</f>
        <v>589</v>
      </c>
      <c r="D19">
        <f t="shared" si="0"/>
        <v>604</v>
      </c>
      <c r="E19">
        <f t="shared" si="0"/>
        <v>826</v>
      </c>
      <c r="F19">
        <f t="shared" si="0"/>
        <v>693</v>
      </c>
      <c r="G19">
        <f t="shared" si="0"/>
        <v>303</v>
      </c>
      <c r="H19">
        <f t="shared" si="0"/>
        <v>421</v>
      </c>
      <c r="I19">
        <f t="shared" si="0"/>
        <v>418</v>
      </c>
      <c r="J19">
        <f t="shared" si="0"/>
        <v>365</v>
      </c>
      <c r="K19">
        <f t="shared" si="0"/>
        <v>422</v>
      </c>
      <c r="L19">
        <f t="shared" si="0"/>
        <v>211</v>
      </c>
      <c r="M19">
        <f t="shared" si="0"/>
        <v>394</v>
      </c>
      <c r="N19">
        <f t="shared" si="0"/>
        <v>371</v>
      </c>
      <c r="O19">
        <f t="shared" si="0"/>
        <v>229</v>
      </c>
      <c r="P19">
        <f t="shared" si="0"/>
        <v>222</v>
      </c>
    </row>
    <row r="21" spans="1:22">
      <c r="A21" t="s">
        <v>42</v>
      </c>
      <c r="B21">
        <f>B19-B17</f>
        <v>0</v>
      </c>
      <c r="C21">
        <f t="shared" ref="C21:P21" si="1">C19-C17</f>
        <v>0</v>
      </c>
      <c r="D21">
        <f t="shared" si="1"/>
        <v>0</v>
      </c>
      <c r="E21">
        <f t="shared" si="1"/>
        <v>0</v>
      </c>
      <c r="F21">
        <f t="shared" si="1"/>
        <v>0</v>
      </c>
      <c r="G21">
        <f t="shared" si="1"/>
        <v>0</v>
      </c>
      <c r="H21">
        <f t="shared" si="1"/>
        <v>0</v>
      </c>
      <c r="I21">
        <f t="shared" si="1"/>
        <v>0</v>
      </c>
      <c r="J21">
        <f t="shared" si="1"/>
        <v>0</v>
      </c>
      <c r="K21">
        <f t="shared" si="1"/>
        <v>0</v>
      </c>
      <c r="L21">
        <f t="shared" si="1"/>
        <v>0</v>
      </c>
      <c r="M21">
        <f t="shared" si="1"/>
        <v>0</v>
      </c>
      <c r="N21">
        <f t="shared" si="1"/>
        <v>0</v>
      </c>
      <c r="O21">
        <f t="shared" si="1"/>
        <v>0</v>
      </c>
      <c r="P21">
        <f t="shared" si="1"/>
        <v>0</v>
      </c>
    </row>
    <row r="23" spans="1:22">
      <c r="A23" s="1"/>
    </row>
    <row r="24" spans="1:22">
      <c r="A24" s="1"/>
    </row>
    <row r="27" spans="1:22">
      <c r="V27" s="4"/>
    </row>
    <row r="32" spans="1:22">
      <c r="A32" t="s">
        <v>49</v>
      </c>
    </row>
  </sheetData>
  <sheetCalcPr fullCalcOnLoad="1"/>
  <phoneticPr fontId="3"/>
  <pageMargins left="0.75" right="0.75" top="1" bottom="1" header="0.5" footer="0.5"/>
  <pageSetup orientation="landscape" horizontalDpi="4294967292" verticalDpi="4294967292"/>
  <extLst>
    <ext xmlns:mx="http://schemas.microsoft.com/office/mac/excel/2008/main" uri="http://schemas.microsoft.com/office/mac/excel/2008/main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W32"/>
  <sheetViews>
    <sheetView workbookViewId="0">
      <selection activeCell="A32" sqref="A32"/>
    </sheetView>
  </sheetViews>
  <sheetFormatPr baseColWidth="10" defaultRowHeight="13"/>
  <cols>
    <col min="1" max="12" width="4.140625" customWidth="1"/>
    <col min="13" max="25" width="4" customWidth="1"/>
  </cols>
  <sheetData>
    <row r="1" spans="1:23">
      <c r="A1" s="2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16</v>
      </c>
      <c r="R1" t="s">
        <v>17</v>
      </c>
      <c r="S1" t="s">
        <v>18</v>
      </c>
      <c r="T1" t="s">
        <v>19</v>
      </c>
      <c r="U1" t="s">
        <v>40</v>
      </c>
      <c r="V1" t="s">
        <v>41</v>
      </c>
      <c r="W1" t="s">
        <v>22</v>
      </c>
    </row>
    <row r="2" spans="1:23" ht="13" customHeight="1">
      <c r="A2" t="s">
        <v>0</v>
      </c>
      <c r="B2">
        <v>94</v>
      </c>
      <c r="C2">
        <v>14</v>
      </c>
      <c r="D2">
        <v>28</v>
      </c>
      <c r="E2">
        <v>1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7</v>
      </c>
      <c r="N2">
        <v>2</v>
      </c>
      <c r="O2">
        <v>1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</row>
    <row r="3" spans="1:23" ht="13" customHeight="1">
      <c r="A3" t="s">
        <v>1</v>
      </c>
      <c r="B3">
        <v>1</v>
      </c>
      <c r="C3">
        <v>146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2</v>
      </c>
    </row>
    <row r="4" spans="1:23">
      <c r="A4" t="s">
        <v>2</v>
      </c>
      <c r="B4">
        <v>0</v>
      </c>
      <c r="C4">
        <v>1</v>
      </c>
      <c r="D4">
        <v>144</v>
      </c>
      <c r="E4">
        <v>0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1</v>
      </c>
      <c r="U4">
        <v>0</v>
      </c>
      <c r="V4">
        <v>1</v>
      </c>
      <c r="W4">
        <v>1</v>
      </c>
    </row>
    <row r="5" spans="1:23">
      <c r="A5" t="s">
        <v>3</v>
      </c>
      <c r="B5">
        <v>0</v>
      </c>
      <c r="C5">
        <v>0</v>
      </c>
      <c r="D5">
        <v>0</v>
      </c>
      <c r="E5">
        <v>130</v>
      </c>
      <c r="F5">
        <v>8</v>
      </c>
      <c r="G5">
        <v>10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</row>
    <row r="6" spans="1:23">
      <c r="A6" t="s">
        <v>4</v>
      </c>
      <c r="B6">
        <v>0</v>
      </c>
      <c r="C6">
        <v>0</v>
      </c>
      <c r="D6">
        <v>0</v>
      </c>
      <c r="E6">
        <v>5</v>
      </c>
      <c r="F6">
        <v>137</v>
      </c>
      <c r="G6">
        <v>4</v>
      </c>
      <c r="H6">
        <v>0</v>
      </c>
      <c r="I6">
        <v>1</v>
      </c>
      <c r="J6">
        <v>0</v>
      </c>
      <c r="K6">
        <v>0</v>
      </c>
      <c r="L6">
        <v>0</v>
      </c>
      <c r="M6">
        <v>1</v>
      </c>
      <c r="N6">
        <v>0</v>
      </c>
      <c r="O6">
        <v>1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</row>
    <row r="7" spans="1:23">
      <c r="A7" t="s">
        <v>5</v>
      </c>
      <c r="B7">
        <v>0</v>
      </c>
      <c r="C7">
        <v>0</v>
      </c>
      <c r="D7">
        <v>2</v>
      </c>
      <c r="E7">
        <v>3</v>
      </c>
      <c r="F7">
        <v>10</v>
      </c>
      <c r="G7">
        <v>132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  <c r="W7">
        <v>0</v>
      </c>
    </row>
    <row r="8" spans="1:23">
      <c r="A8" t="s">
        <v>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144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3</v>
      </c>
    </row>
    <row r="9" spans="1:23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3</v>
      </c>
      <c r="H9">
        <v>0</v>
      </c>
      <c r="I9">
        <v>85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62</v>
      </c>
      <c r="W9">
        <v>0</v>
      </c>
    </row>
    <row r="10" spans="1:23">
      <c r="A10" t="s">
        <v>8</v>
      </c>
      <c r="B10">
        <v>0</v>
      </c>
      <c r="C10">
        <v>7</v>
      </c>
      <c r="D10">
        <v>1</v>
      </c>
      <c r="E10">
        <v>0</v>
      </c>
      <c r="F10">
        <v>0</v>
      </c>
      <c r="G10">
        <v>0</v>
      </c>
      <c r="H10">
        <v>0</v>
      </c>
      <c r="I10">
        <v>1</v>
      </c>
      <c r="J10">
        <v>131</v>
      </c>
      <c r="K10">
        <v>2</v>
      </c>
      <c r="L10">
        <v>1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  <c r="W10">
        <v>5</v>
      </c>
    </row>
    <row r="11" spans="1:23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6</v>
      </c>
      <c r="I11">
        <v>0</v>
      </c>
      <c r="J11">
        <v>1</v>
      </c>
      <c r="K11">
        <v>139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2</v>
      </c>
      <c r="W11">
        <v>1</v>
      </c>
    </row>
    <row r="12" spans="1:23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  <c r="J12">
        <v>19</v>
      </c>
      <c r="K12">
        <v>0</v>
      </c>
      <c r="L12">
        <v>121</v>
      </c>
      <c r="M12">
        <v>0</v>
      </c>
      <c r="N12">
        <v>0</v>
      </c>
      <c r="O12">
        <v>4</v>
      </c>
      <c r="P12">
        <v>0</v>
      </c>
      <c r="Q12">
        <v>0</v>
      </c>
      <c r="R12">
        <v>0</v>
      </c>
      <c r="S12">
        <v>2</v>
      </c>
      <c r="T12">
        <v>1</v>
      </c>
      <c r="U12">
        <v>0</v>
      </c>
      <c r="V12">
        <v>2</v>
      </c>
      <c r="W12">
        <v>0</v>
      </c>
    </row>
    <row r="13" spans="1:23">
      <c r="A13" t="s">
        <v>11</v>
      </c>
      <c r="B13">
        <v>16</v>
      </c>
      <c r="C13">
        <v>7</v>
      </c>
      <c r="D13">
        <v>42</v>
      </c>
      <c r="E13">
        <v>0</v>
      </c>
      <c r="F13">
        <v>1</v>
      </c>
      <c r="G13">
        <v>0</v>
      </c>
      <c r="H13">
        <v>4</v>
      </c>
      <c r="I13">
        <v>0</v>
      </c>
      <c r="J13">
        <v>7</v>
      </c>
      <c r="K13">
        <v>2</v>
      </c>
      <c r="L13">
        <v>0</v>
      </c>
      <c r="M13">
        <v>39</v>
      </c>
      <c r="N13">
        <v>5</v>
      </c>
      <c r="O13">
        <v>3</v>
      </c>
      <c r="P13">
        <v>4</v>
      </c>
      <c r="Q13">
        <v>0</v>
      </c>
      <c r="R13">
        <v>0</v>
      </c>
      <c r="S13">
        <v>0</v>
      </c>
      <c r="T13">
        <v>5</v>
      </c>
      <c r="U13">
        <v>0</v>
      </c>
      <c r="V13">
        <v>0</v>
      </c>
      <c r="W13">
        <v>15</v>
      </c>
    </row>
    <row r="14" spans="1:23">
      <c r="A14" t="s">
        <v>12</v>
      </c>
      <c r="B14">
        <v>5</v>
      </c>
      <c r="C14">
        <v>38</v>
      </c>
      <c r="D14">
        <v>19</v>
      </c>
      <c r="E14">
        <v>0</v>
      </c>
      <c r="F14">
        <v>0</v>
      </c>
      <c r="G14">
        <v>1</v>
      </c>
      <c r="H14">
        <v>9</v>
      </c>
      <c r="I14">
        <v>0</v>
      </c>
      <c r="J14">
        <v>13</v>
      </c>
      <c r="K14">
        <v>3</v>
      </c>
      <c r="L14">
        <v>0</v>
      </c>
      <c r="M14">
        <v>19</v>
      </c>
      <c r="N14">
        <v>17</v>
      </c>
      <c r="O14">
        <v>1</v>
      </c>
      <c r="P14">
        <v>2</v>
      </c>
      <c r="Q14">
        <v>0</v>
      </c>
      <c r="R14">
        <v>0</v>
      </c>
      <c r="S14">
        <v>0</v>
      </c>
      <c r="T14">
        <v>1</v>
      </c>
      <c r="U14">
        <v>0</v>
      </c>
      <c r="V14">
        <v>1</v>
      </c>
      <c r="W14">
        <v>21</v>
      </c>
    </row>
    <row r="15" spans="1:23">
      <c r="A15" t="s">
        <v>13</v>
      </c>
      <c r="B15">
        <v>0</v>
      </c>
      <c r="C15">
        <v>0</v>
      </c>
      <c r="D15">
        <v>0</v>
      </c>
      <c r="E15">
        <v>4</v>
      </c>
      <c r="F15">
        <v>5</v>
      </c>
      <c r="G15">
        <v>25</v>
      </c>
      <c r="H15">
        <v>0</v>
      </c>
      <c r="I15">
        <v>1</v>
      </c>
      <c r="J15">
        <v>4</v>
      </c>
      <c r="K15">
        <v>0</v>
      </c>
      <c r="L15">
        <v>9</v>
      </c>
      <c r="M15">
        <v>2</v>
      </c>
      <c r="N15">
        <v>2</v>
      </c>
      <c r="O15">
        <v>64</v>
      </c>
      <c r="P15">
        <v>17</v>
      </c>
      <c r="Q15">
        <v>0</v>
      </c>
      <c r="R15">
        <v>0</v>
      </c>
      <c r="S15">
        <v>4</v>
      </c>
      <c r="T15">
        <v>2</v>
      </c>
      <c r="U15">
        <v>0</v>
      </c>
      <c r="V15">
        <v>0</v>
      </c>
      <c r="W15">
        <v>11</v>
      </c>
    </row>
    <row r="16" spans="1:23">
      <c r="A16" t="s">
        <v>14</v>
      </c>
      <c r="B16">
        <v>0</v>
      </c>
      <c r="C16">
        <v>0</v>
      </c>
      <c r="D16">
        <v>0</v>
      </c>
      <c r="E16">
        <v>5</v>
      </c>
      <c r="F16">
        <v>16</v>
      </c>
      <c r="G16">
        <v>15</v>
      </c>
      <c r="H16">
        <v>0</v>
      </c>
      <c r="I16">
        <v>1</v>
      </c>
      <c r="J16">
        <v>8</v>
      </c>
      <c r="K16">
        <v>0</v>
      </c>
      <c r="L16">
        <v>24</v>
      </c>
      <c r="M16">
        <v>2</v>
      </c>
      <c r="N16">
        <v>7</v>
      </c>
      <c r="O16">
        <v>47</v>
      </c>
      <c r="P16">
        <v>19</v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5</v>
      </c>
    </row>
    <row r="17" spans="1:23">
      <c r="A17" t="s">
        <v>16</v>
      </c>
      <c r="B17">
        <v>0</v>
      </c>
      <c r="C17">
        <v>1</v>
      </c>
      <c r="D17">
        <v>0</v>
      </c>
      <c r="E17">
        <v>0</v>
      </c>
      <c r="F17">
        <v>3</v>
      </c>
      <c r="G17">
        <v>2</v>
      </c>
      <c r="H17">
        <v>0</v>
      </c>
      <c r="I17">
        <v>0</v>
      </c>
      <c r="J17">
        <v>0</v>
      </c>
      <c r="K17">
        <v>1</v>
      </c>
      <c r="L17">
        <v>1</v>
      </c>
      <c r="M17">
        <v>0</v>
      </c>
      <c r="N17">
        <v>0</v>
      </c>
      <c r="O17">
        <v>1</v>
      </c>
      <c r="P17">
        <v>0</v>
      </c>
      <c r="Q17">
        <v>122</v>
      </c>
      <c r="R17">
        <v>2</v>
      </c>
      <c r="S17">
        <v>0</v>
      </c>
      <c r="T17">
        <v>0</v>
      </c>
      <c r="U17">
        <v>12</v>
      </c>
      <c r="V17">
        <v>0</v>
      </c>
      <c r="W17">
        <v>5</v>
      </c>
    </row>
    <row r="18" spans="1:23">
      <c r="A18" t="s">
        <v>17</v>
      </c>
      <c r="B18">
        <v>0</v>
      </c>
      <c r="C18">
        <v>0</v>
      </c>
      <c r="D18">
        <v>0</v>
      </c>
      <c r="E18">
        <v>3</v>
      </c>
      <c r="F18">
        <v>0</v>
      </c>
      <c r="G18">
        <v>2</v>
      </c>
      <c r="H18">
        <v>0</v>
      </c>
      <c r="I18">
        <v>0</v>
      </c>
      <c r="J18">
        <v>1</v>
      </c>
      <c r="K18">
        <v>0</v>
      </c>
      <c r="L18">
        <v>1</v>
      </c>
      <c r="M18">
        <v>0</v>
      </c>
      <c r="N18">
        <v>0</v>
      </c>
      <c r="O18">
        <v>2</v>
      </c>
      <c r="P18">
        <v>0</v>
      </c>
      <c r="Q18">
        <v>16</v>
      </c>
      <c r="R18">
        <v>114</v>
      </c>
      <c r="S18">
        <v>0</v>
      </c>
      <c r="T18">
        <v>0</v>
      </c>
      <c r="U18">
        <v>8</v>
      </c>
      <c r="V18">
        <v>0</v>
      </c>
      <c r="W18">
        <v>3</v>
      </c>
    </row>
    <row r="19" spans="1:23">
      <c r="A19" t="s">
        <v>18</v>
      </c>
      <c r="B19">
        <v>0</v>
      </c>
      <c r="C19">
        <v>1</v>
      </c>
      <c r="D19">
        <v>1</v>
      </c>
      <c r="E19">
        <v>3</v>
      </c>
      <c r="F19">
        <v>1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0</v>
      </c>
      <c r="Q19">
        <v>0</v>
      </c>
      <c r="R19">
        <v>0</v>
      </c>
      <c r="S19">
        <v>112</v>
      </c>
      <c r="T19">
        <v>3</v>
      </c>
      <c r="U19">
        <v>1</v>
      </c>
      <c r="V19">
        <v>0</v>
      </c>
      <c r="W19">
        <v>24</v>
      </c>
    </row>
    <row r="20" spans="1:23">
      <c r="A20" t="s">
        <v>19</v>
      </c>
      <c r="B20">
        <v>0</v>
      </c>
      <c r="C20">
        <v>2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2</v>
      </c>
      <c r="M20">
        <v>1</v>
      </c>
      <c r="N20">
        <v>0</v>
      </c>
      <c r="O20">
        <v>3</v>
      </c>
      <c r="P20">
        <v>0</v>
      </c>
      <c r="Q20">
        <v>0</v>
      </c>
      <c r="R20">
        <v>0</v>
      </c>
      <c r="S20">
        <v>9</v>
      </c>
      <c r="T20">
        <v>120</v>
      </c>
      <c r="U20">
        <v>0</v>
      </c>
      <c r="V20">
        <v>0</v>
      </c>
      <c r="W20">
        <v>12</v>
      </c>
    </row>
    <row r="21" spans="1:23">
      <c r="A21" t="s">
        <v>40</v>
      </c>
      <c r="B21">
        <v>0</v>
      </c>
      <c r="C21">
        <v>0</v>
      </c>
      <c r="D21">
        <v>0</v>
      </c>
      <c r="E21">
        <v>0</v>
      </c>
      <c r="F21">
        <v>3</v>
      </c>
      <c r="G21">
        <v>9</v>
      </c>
      <c r="H21">
        <v>0</v>
      </c>
      <c r="I21">
        <v>1</v>
      </c>
      <c r="J21">
        <v>1</v>
      </c>
      <c r="K21">
        <v>0</v>
      </c>
      <c r="L21">
        <v>1</v>
      </c>
      <c r="M21">
        <v>0</v>
      </c>
      <c r="N21">
        <v>0</v>
      </c>
      <c r="O21">
        <v>0</v>
      </c>
      <c r="P21">
        <v>1</v>
      </c>
      <c r="Q21">
        <v>33</v>
      </c>
      <c r="R21">
        <v>7</v>
      </c>
      <c r="S21">
        <v>0</v>
      </c>
      <c r="T21">
        <v>0</v>
      </c>
      <c r="U21">
        <v>89</v>
      </c>
      <c r="V21">
        <v>0</v>
      </c>
      <c r="W21">
        <v>5</v>
      </c>
    </row>
    <row r="22" spans="1:23">
      <c r="A22" t="s">
        <v>41</v>
      </c>
      <c r="B22">
        <v>0</v>
      </c>
      <c r="C22">
        <v>0</v>
      </c>
      <c r="D22">
        <v>1</v>
      </c>
      <c r="E22">
        <v>0</v>
      </c>
      <c r="F22">
        <v>0</v>
      </c>
      <c r="G22">
        <v>1</v>
      </c>
      <c r="H22">
        <v>0</v>
      </c>
      <c r="I22">
        <v>13</v>
      </c>
      <c r="J22">
        <v>0</v>
      </c>
      <c r="K22">
        <v>14</v>
      </c>
      <c r="L22">
        <v>8</v>
      </c>
      <c r="M22">
        <v>0</v>
      </c>
      <c r="N22">
        <v>0</v>
      </c>
      <c r="O22">
        <v>1</v>
      </c>
      <c r="P22">
        <v>1</v>
      </c>
      <c r="Q22">
        <v>0</v>
      </c>
      <c r="R22">
        <v>0</v>
      </c>
      <c r="S22">
        <v>0</v>
      </c>
      <c r="T22">
        <v>0</v>
      </c>
      <c r="U22">
        <v>0</v>
      </c>
      <c r="V22">
        <v>111</v>
      </c>
      <c r="W22">
        <v>0</v>
      </c>
    </row>
    <row r="23" spans="1:23">
      <c r="A23" t="s">
        <v>22</v>
      </c>
      <c r="B23">
        <v>2</v>
      </c>
      <c r="C23">
        <v>4</v>
      </c>
      <c r="D23">
        <v>8</v>
      </c>
      <c r="E23">
        <v>3</v>
      </c>
      <c r="F23">
        <v>6</v>
      </c>
      <c r="G23">
        <v>5</v>
      </c>
      <c r="H23">
        <v>0</v>
      </c>
      <c r="I23">
        <v>0</v>
      </c>
      <c r="J23">
        <v>3</v>
      </c>
      <c r="K23">
        <v>0</v>
      </c>
      <c r="L23">
        <v>2</v>
      </c>
      <c r="M23">
        <v>5</v>
      </c>
      <c r="N23">
        <v>2</v>
      </c>
      <c r="O23">
        <v>11</v>
      </c>
      <c r="P23">
        <v>1</v>
      </c>
      <c r="Q23">
        <v>0</v>
      </c>
      <c r="R23">
        <v>0</v>
      </c>
      <c r="S23">
        <v>14</v>
      </c>
      <c r="T23">
        <v>9</v>
      </c>
      <c r="U23">
        <v>0</v>
      </c>
      <c r="V23">
        <v>0</v>
      </c>
      <c r="W23">
        <v>75</v>
      </c>
    </row>
    <row r="24" spans="1:23">
      <c r="A24" s="1"/>
      <c r="B24">
        <v>119</v>
      </c>
      <c r="C24">
        <v>221</v>
      </c>
      <c r="D24">
        <v>246</v>
      </c>
      <c r="E24">
        <v>157</v>
      </c>
      <c r="F24">
        <v>191</v>
      </c>
      <c r="G24">
        <v>210</v>
      </c>
      <c r="H24">
        <v>166</v>
      </c>
      <c r="I24">
        <v>105</v>
      </c>
      <c r="J24">
        <v>188</v>
      </c>
      <c r="K24">
        <v>161</v>
      </c>
      <c r="L24">
        <v>171</v>
      </c>
      <c r="M24">
        <v>77</v>
      </c>
      <c r="N24">
        <v>36</v>
      </c>
      <c r="O24">
        <v>144</v>
      </c>
      <c r="P24">
        <v>46</v>
      </c>
      <c r="Q24">
        <v>171</v>
      </c>
      <c r="R24">
        <v>124</v>
      </c>
      <c r="S24">
        <v>144</v>
      </c>
      <c r="T24">
        <v>142</v>
      </c>
      <c r="U24">
        <v>110</v>
      </c>
      <c r="V24">
        <v>181</v>
      </c>
      <c r="W24">
        <v>190</v>
      </c>
    </row>
    <row r="25" spans="1:23">
      <c r="A25" s="1"/>
    </row>
    <row r="26" spans="1:23">
      <c r="A26" s="1" t="s">
        <v>24</v>
      </c>
      <c r="B26">
        <f>SUM(B2:B23)</f>
        <v>119</v>
      </c>
      <c r="C26">
        <f t="shared" ref="C26:W26" si="0">SUM(C2:C23)</f>
        <v>221</v>
      </c>
      <c r="D26">
        <f t="shared" si="0"/>
        <v>246</v>
      </c>
      <c r="E26">
        <f t="shared" si="0"/>
        <v>157</v>
      </c>
      <c r="F26">
        <f t="shared" si="0"/>
        <v>191</v>
      </c>
      <c r="G26">
        <f t="shared" si="0"/>
        <v>210</v>
      </c>
      <c r="H26">
        <f t="shared" si="0"/>
        <v>166</v>
      </c>
      <c r="I26">
        <f t="shared" si="0"/>
        <v>105</v>
      </c>
      <c r="J26">
        <f t="shared" si="0"/>
        <v>188</v>
      </c>
      <c r="K26">
        <f t="shared" si="0"/>
        <v>161</v>
      </c>
      <c r="L26">
        <f t="shared" si="0"/>
        <v>171</v>
      </c>
      <c r="M26">
        <f t="shared" si="0"/>
        <v>77</v>
      </c>
      <c r="N26">
        <f t="shared" si="0"/>
        <v>36</v>
      </c>
      <c r="O26">
        <f t="shared" si="0"/>
        <v>144</v>
      </c>
      <c r="P26">
        <f t="shared" si="0"/>
        <v>46</v>
      </c>
      <c r="Q26">
        <f t="shared" si="0"/>
        <v>171</v>
      </c>
      <c r="R26">
        <f t="shared" si="0"/>
        <v>124</v>
      </c>
      <c r="S26">
        <f t="shared" si="0"/>
        <v>144</v>
      </c>
      <c r="T26">
        <f t="shared" si="0"/>
        <v>142</v>
      </c>
      <c r="U26">
        <f t="shared" si="0"/>
        <v>110</v>
      </c>
      <c r="V26">
        <f t="shared" si="0"/>
        <v>181</v>
      </c>
      <c r="W26">
        <f t="shared" si="0"/>
        <v>190</v>
      </c>
    </row>
    <row r="28" spans="1:23">
      <c r="A28" t="s">
        <v>42</v>
      </c>
      <c r="B28">
        <f>B26-B24</f>
        <v>0</v>
      </c>
      <c r="C28">
        <f t="shared" ref="C28:W28" si="1">C26-C24</f>
        <v>0</v>
      </c>
      <c r="D28">
        <f t="shared" si="1"/>
        <v>0</v>
      </c>
      <c r="E28">
        <f t="shared" si="1"/>
        <v>0</v>
      </c>
      <c r="F28">
        <f t="shared" si="1"/>
        <v>0</v>
      </c>
      <c r="G28">
        <f t="shared" si="1"/>
        <v>0</v>
      </c>
      <c r="H28">
        <f t="shared" si="1"/>
        <v>0</v>
      </c>
      <c r="I28">
        <f t="shared" si="1"/>
        <v>0</v>
      </c>
      <c r="J28">
        <f t="shared" si="1"/>
        <v>0</v>
      </c>
      <c r="K28">
        <f t="shared" si="1"/>
        <v>0</v>
      </c>
      <c r="L28">
        <f t="shared" si="1"/>
        <v>0</v>
      </c>
      <c r="M28">
        <f t="shared" si="1"/>
        <v>0</v>
      </c>
      <c r="N28">
        <f t="shared" si="1"/>
        <v>0</v>
      </c>
      <c r="O28">
        <f t="shared" si="1"/>
        <v>0</v>
      </c>
      <c r="P28">
        <f t="shared" si="1"/>
        <v>0</v>
      </c>
      <c r="Q28">
        <f t="shared" si="1"/>
        <v>0</v>
      </c>
      <c r="R28">
        <f t="shared" si="1"/>
        <v>0</v>
      </c>
      <c r="S28">
        <f t="shared" si="1"/>
        <v>0</v>
      </c>
      <c r="T28">
        <f t="shared" si="1"/>
        <v>0</v>
      </c>
      <c r="U28">
        <f t="shared" si="1"/>
        <v>0</v>
      </c>
      <c r="V28">
        <f t="shared" si="1"/>
        <v>0</v>
      </c>
      <c r="W28">
        <f t="shared" si="1"/>
        <v>0</v>
      </c>
    </row>
    <row r="29" spans="1:23">
      <c r="V29" s="4"/>
    </row>
    <row r="32" spans="1:23">
      <c r="A32" t="s">
        <v>50</v>
      </c>
    </row>
  </sheetData>
  <sheetCalcPr fullCalcOnLoad="1"/>
  <phoneticPr fontId="3"/>
  <pageMargins left="0.75" right="0.75" top="1" bottom="1" header="0.5" footer="0.5"/>
  <pageSetup orientation="landscape" horizontalDpi="4294967292" verticalDpi="4294967292"/>
  <extLst>
    <ext xmlns:mx="http://schemas.microsoft.com/office/mac/excel/2008/main" uri="http://schemas.microsoft.com/office/mac/excel/2008/main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W33"/>
  <sheetViews>
    <sheetView topLeftCell="A5" workbookViewId="0">
      <selection activeCell="A33" sqref="A33"/>
    </sheetView>
  </sheetViews>
  <sheetFormatPr baseColWidth="10" defaultRowHeight="13"/>
  <cols>
    <col min="1" max="12" width="4.140625" customWidth="1"/>
    <col min="13" max="25" width="4" customWidth="1"/>
  </cols>
  <sheetData>
    <row r="1" spans="1:23">
      <c r="A1" s="2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16</v>
      </c>
      <c r="R1" t="s">
        <v>17</v>
      </c>
      <c r="S1" t="s">
        <v>18</v>
      </c>
      <c r="T1" t="s">
        <v>19</v>
      </c>
      <c r="U1" t="s">
        <v>40</v>
      </c>
      <c r="V1" t="s">
        <v>41</v>
      </c>
      <c r="W1" t="s">
        <v>22</v>
      </c>
    </row>
    <row r="2" spans="1:23" ht="13" customHeight="1">
      <c r="A2" t="s">
        <v>0</v>
      </c>
      <c r="B2">
        <v>52</v>
      </c>
      <c r="C2">
        <v>21</v>
      </c>
      <c r="D2">
        <v>36</v>
      </c>
      <c r="E2">
        <v>1</v>
      </c>
      <c r="F2">
        <v>2</v>
      </c>
      <c r="G2">
        <v>0</v>
      </c>
      <c r="H2">
        <v>13</v>
      </c>
      <c r="I2">
        <v>0</v>
      </c>
      <c r="J2">
        <v>5</v>
      </c>
      <c r="K2">
        <v>0</v>
      </c>
      <c r="L2">
        <v>0</v>
      </c>
      <c r="M2">
        <v>7</v>
      </c>
      <c r="N2">
        <v>2</v>
      </c>
      <c r="O2">
        <v>0</v>
      </c>
      <c r="P2">
        <v>1</v>
      </c>
      <c r="Q2">
        <v>0</v>
      </c>
      <c r="R2">
        <v>0</v>
      </c>
      <c r="S2">
        <v>0</v>
      </c>
      <c r="T2">
        <v>1</v>
      </c>
      <c r="U2">
        <v>0</v>
      </c>
      <c r="V2">
        <v>1</v>
      </c>
      <c r="W2">
        <v>8</v>
      </c>
    </row>
    <row r="3" spans="1:23" ht="13" customHeight="1">
      <c r="A3" t="s">
        <v>1</v>
      </c>
      <c r="B3">
        <v>3</v>
      </c>
      <c r="C3">
        <v>81</v>
      </c>
      <c r="D3">
        <v>22</v>
      </c>
      <c r="E3">
        <v>1</v>
      </c>
      <c r="F3">
        <v>0</v>
      </c>
      <c r="G3">
        <v>0</v>
      </c>
      <c r="H3">
        <v>26</v>
      </c>
      <c r="I3">
        <v>0</v>
      </c>
      <c r="J3">
        <v>4</v>
      </c>
      <c r="K3">
        <v>2</v>
      </c>
      <c r="L3">
        <v>0</v>
      </c>
      <c r="M3">
        <v>1</v>
      </c>
      <c r="N3">
        <v>1</v>
      </c>
      <c r="O3">
        <v>1</v>
      </c>
      <c r="P3">
        <v>0</v>
      </c>
      <c r="Q3">
        <v>1</v>
      </c>
      <c r="R3">
        <v>0</v>
      </c>
      <c r="S3">
        <v>0</v>
      </c>
      <c r="T3">
        <v>1</v>
      </c>
      <c r="U3">
        <v>0</v>
      </c>
      <c r="V3">
        <v>2</v>
      </c>
      <c r="W3">
        <v>4</v>
      </c>
    </row>
    <row r="4" spans="1:23">
      <c r="A4" t="s">
        <v>2</v>
      </c>
      <c r="B4">
        <v>6</v>
      </c>
      <c r="C4">
        <v>11</v>
      </c>
      <c r="D4">
        <v>114</v>
      </c>
      <c r="E4">
        <v>1</v>
      </c>
      <c r="F4">
        <v>1</v>
      </c>
      <c r="G4">
        <v>4</v>
      </c>
      <c r="H4">
        <v>5</v>
      </c>
      <c r="I4">
        <v>1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0</v>
      </c>
      <c r="W4">
        <v>5</v>
      </c>
    </row>
    <row r="5" spans="1:23">
      <c r="A5" t="s">
        <v>3</v>
      </c>
      <c r="B5">
        <v>0</v>
      </c>
      <c r="C5">
        <v>0</v>
      </c>
      <c r="D5">
        <v>0</v>
      </c>
      <c r="E5">
        <v>94</v>
      </c>
      <c r="F5">
        <v>27</v>
      </c>
      <c r="G5">
        <v>21</v>
      </c>
      <c r="H5">
        <v>0</v>
      </c>
      <c r="I5">
        <v>2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4</v>
      </c>
      <c r="W5">
        <v>0</v>
      </c>
    </row>
    <row r="6" spans="1:23">
      <c r="A6" t="s">
        <v>4</v>
      </c>
      <c r="B6">
        <v>0</v>
      </c>
      <c r="C6">
        <v>1</v>
      </c>
      <c r="D6">
        <v>0</v>
      </c>
      <c r="E6">
        <v>24</v>
      </c>
      <c r="F6">
        <v>90</v>
      </c>
      <c r="G6">
        <v>13</v>
      </c>
      <c r="H6">
        <v>2</v>
      </c>
      <c r="I6">
        <v>8</v>
      </c>
      <c r="J6">
        <v>2</v>
      </c>
      <c r="K6">
        <v>0</v>
      </c>
      <c r="L6">
        <v>0</v>
      </c>
      <c r="M6">
        <v>0</v>
      </c>
      <c r="N6">
        <v>1</v>
      </c>
      <c r="O6">
        <v>0</v>
      </c>
      <c r="P6">
        <v>1</v>
      </c>
      <c r="Q6">
        <v>0</v>
      </c>
      <c r="R6">
        <v>0</v>
      </c>
      <c r="S6">
        <v>0</v>
      </c>
      <c r="T6">
        <v>1</v>
      </c>
      <c r="U6">
        <v>0</v>
      </c>
      <c r="V6">
        <v>5</v>
      </c>
      <c r="W6">
        <v>2</v>
      </c>
    </row>
    <row r="7" spans="1:23">
      <c r="A7" t="s">
        <v>5</v>
      </c>
      <c r="B7">
        <v>0</v>
      </c>
      <c r="C7">
        <v>0</v>
      </c>
      <c r="D7">
        <v>4</v>
      </c>
      <c r="E7">
        <v>10</v>
      </c>
      <c r="F7">
        <v>31</v>
      </c>
      <c r="G7">
        <v>85</v>
      </c>
      <c r="H7">
        <v>0</v>
      </c>
      <c r="I7">
        <v>0</v>
      </c>
      <c r="J7">
        <v>3</v>
      </c>
      <c r="K7">
        <v>0</v>
      </c>
      <c r="L7">
        <v>0</v>
      </c>
      <c r="M7">
        <v>2</v>
      </c>
      <c r="N7">
        <v>1</v>
      </c>
      <c r="O7">
        <v>3</v>
      </c>
      <c r="P7">
        <v>1</v>
      </c>
      <c r="Q7">
        <v>0</v>
      </c>
      <c r="R7">
        <v>0</v>
      </c>
      <c r="S7">
        <v>1</v>
      </c>
      <c r="T7">
        <v>1</v>
      </c>
      <c r="U7">
        <v>0</v>
      </c>
      <c r="V7">
        <v>6</v>
      </c>
      <c r="W7">
        <v>2</v>
      </c>
    </row>
    <row r="8" spans="1:23">
      <c r="A8" t="s">
        <v>6</v>
      </c>
      <c r="B8">
        <v>0</v>
      </c>
      <c r="C8">
        <v>4</v>
      </c>
      <c r="D8">
        <v>0</v>
      </c>
      <c r="E8">
        <v>0</v>
      </c>
      <c r="F8">
        <v>0</v>
      </c>
      <c r="G8">
        <v>0</v>
      </c>
      <c r="H8">
        <v>132</v>
      </c>
      <c r="I8">
        <v>4</v>
      </c>
      <c r="J8">
        <v>1</v>
      </c>
      <c r="K8">
        <v>2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3</v>
      </c>
      <c r="W8">
        <v>3</v>
      </c>
    </row>
    <row r="9" spans="1:23">
      <c r="A9" t="s">
        <v>7</v>
      </c>
      <c r="B9">
        <v>0</v>
      </c>
      <c r="C9">
        <v>0</v>
      </c>
      <c r="D9">
        <v>0</v>
      </c>
      <c r="E9">
        <v>1</v>
      </c>
      <c r="F9">
        <v>10</v>
      </c>
      <c r="G9">
        <v>12</v>
      </c>
      <c r="H9">
        <v>4</v>
      </c>
      <c r="I9">
        <v>64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59</v>
      </c>
      <c r="W9">
        <v>0</v>
      </c>
    </row>
    <row r="10" spans="1:23">
      <c r="A10" t="s">
        <v>8</v>
      </c>
      <c r="B10">
        <v>1</v>
      </c>
      <c r="C10">
        <v>21</v>
      </c>
      <c r="D10">
        <v>11</v>
      </c>
      <c r="E10">
        <v>0</v>
      </c>
      <c r="F10">
        <v>1</v>
      </c>
      <c r="G10">
        <v>2</v>
      </c>
      <c r="H10">
        <v>6</v>
      </c>
      <c r="I10">
        <v>1</v>
      </c>
      <c r="J10">
        <v>86</v>
      </c>
      <c r="K10">
        <v>7</v>
      </c>
      <c r="L10">
        <v>3</v>
      </c>
      <c r="M10">
        <v>5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5</v>
      </c>
    </row>
    <row r="11" spans="1:23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16</v>
      </c>
      <c r="I11">
        <v>1</v>
      </c>
      <c r="J11">
        <v>1</v>
      </c>
      <c r="K11">
        <v>129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3</v>
      </c>
      <c r="W11">
        <v>0</v>
      </c>
    </row>
    <row r="12" spans="1:23">
      <c r="A12" t="s">
        <v>10</v>
      </c>
      <c r="B12">
        <v>0</v>
      </c>
      <c r="C12">
        <v>1</v>
      </c>
      <c r="D12">
        <v>1</v>
      </c>
      <c r="E12">
        <v>3</v>
      </c>
      <c r="F12">
        <v>10</v>
      </c>
      <c r="G12">
        <v>15</v>
      </c>
      <c r="H12">
        <v>0</v>
      </c>
      <c r="I12">
        <v>2</v>
      </c>
      <c r="J12">
        <v>15</v>
      </c>
      <c r="K12">
        <v>2</v>
      </c>
      <c r="L12">
        <v>52</v>
      </c>
      <c r="M12">
        <v>1</v>
      </c>
      <c r="N12">
        <v>2</v>
      </c>
      <c r="O12">
        <v>10</v>
      </c>
      <c r="P12">
        <v>2</v>
      </c>
      <c r="Q12">
        <v>10</v>
      </c>
      <c r="R12">
        <v>0</v>
      </c>
      <c r="S12">
        <v>0</v>
      </c>
      <c r="T12">
        <v>2</v>
      </c>
      <c r="U12">
        <v>2</v>
      </c>
      <c r="V12">
        <v>11</v>
      </c>
      <c r="W12">
        <v>9</v>
      </c>
    </row>
    <row r="13" spans="1:23">
      <c r="A13" t="s">
        <v>11</v>
      </c>
      <c r="B13">
        <v>17</v>
      </c>
      <c r="C13">
        <v>15</v>
      </c>
      <c r="D13">
        <v>35</v>
      </c>
      <c r="E13">
        <v>4</v>
      </c>
      <c r="F13">
        <v>0</v>
      </c>
      <c r="G13">
        <v>0</v>
      </c>
      <c r="H13">
        <v>21</v>
      </c>
      <c r="I13">
        <v>0</v>
      </c>
      <c r="J13">
        <v>11</v>
      </c>
      <c r="K13">
        <v>5</v>
      </c>
      <c r="L13">
        <v>1</v>
      </c>
      <c r="M13">
        <v>17</v>
      </c>
      <c r="N13">
        <v>4</v>
      </c>
      <c r="O13">
        <v>1</v>
      </c>
      <c r="P13">
        <v>0</v>
      </c>
      <c r="Q13">
        <v>0</v>
      </c>
      <c r="R13">
        <v>0</v>
      </c>
      <c r="S13">
        <v>0</v>
      </c>
      <c r="T13">
        <v>5</v>
      </c>
      <c r="U13">
        <v>0</v>
      </c>
      <c r="V13">
        <v>1</v>
      </c>
      <c r="W13">
        <v>13</v>
      </c>
    </row>
    <row r="14" spans="1:23">
      <c r="A14" t="s">
        <v>12</v>
      </c>
      <c r="B14">
        <v>5</v>
      </c>
      <c r="C14">
        <v>28</v>
      </c>
      <c r="D14">
        <v>36</v>
      </c>
      <c r="E14">
        <v>0</v>
      </c>
      <c r="F14">
        <v>1</v>
      </c>
      <c r="G14">
        <v>1</v>
      </c>
      <c r="H14">
        <v>17</v>
      </c>
      <c r="I14">
        <v>1</v>
      </c>
      <c r="J14">
        <v>15</v>
      </c>
      <c r="K14">
        <v>3</v>
      </c>
      <c r="L14">
        <v>1</v>
      </c>
      <c r="M14">
        <v>18</v>
      </c>
      <c r="N14">
        <v>3</v>
      </c>
      <c r="O14">
        <v>2</v>
      </c>
      <c r="P14">
        <v>2</v>
      </c>
      <c r="Q14">
        <v>0</v>
      </c>
      <c r="R14">
        <v>0</v>
      </c>
      <c r="S14">
        <v>1</v>
      </c>
      <c r="T14">
        <v>0</v>
      </c>
      <c r="U14">
        <v>0</v>
      </c>
      <c r="V14">
        <v>1</v>
      </c>
      <c r="W14">
        <v>15</v>
      </c>
    </row>
    <row r="15" spans="1:23">
      <c r="A15" t="s">
        <v>13</v>
      </c>
      <c r="B15">
        <v>0</v>
      </c>
      <c r="C15">
        <v>0</v>
      </c>
      <c r="D15">
        <v>2</v>
      </c>
      <c r="E15">
        <v>7</v>
      </c>
      <c r="F15">
        <v>2</v>
      </c>
      <c r="G15">
        <v>23</v>
      </c>
      <c r="H15">
        <v>0</v>
      </c>
      <c r="I15">
        <v>2</v>
      </c>
      <c r="J15">
        <v>9</v>
      </c>
      <c r="K15">
        <v>0</v>
      </c>
      <c r="L15">
        <v>6</v>
      </c>
      <c r="M15">
        <v>3</v>
      </c>
      <c r="N15">
        <v>5</v>
      </c>
      <c r="O15">
        <v>42</v>
      </c>
      <c r="P15">
        <v>5</v>
      </c>
      <c r="Q15">
        <v>0</v>
      </c>
      <c r="R15">
        <v>0</v>
      </c>
      <c r="S15">
        <v>2</v>
      </c>
      <c r="T15">
        <v>1</v>
      </c>
      <c r="U15">
        <v>3</v>
      </c>
      <c r="V15">
        <v>12</v>
      </c>
      <c r="W15">
        <v>26</v>
      </c>
    </row>
    <row r="16" spans="1:23">
      <c r="A16" t="s">
        <v>14</v>
      </c>
      <c r="B16">
        <v>4</v>
      </c>
      <c r="C16">
        <v>1</v>
      </c>
      <c r="D16">
        <v>0</v>
      </c>
      <c r="E16">
        <v>8</v>
      </c>
      <c r="F16">
        <v>14</v>
      </c>
      <c r="G16">
        <v>20</v>
      </c>
      <c r="H16">
        <v>1</v>
      </c>
      <c r="I16">
        <v>5</v>
      </c>
      <c r="J16">
        <v>6</v>
      </c>
      <c r="K16">
        <v>0</v>
      </c>
      <c r="L16">
        <v>20</v>
      </c>
      <c r="M16">
        <v>1</v>
      </c>
      <c r="N16">
        <v>5</v>
      </c>
      <c r="O16">
        <v>24</v>
      </c>
      <c r="P16">
        <v>6</v>
      </c>
      <c r="Q16">
        <v>1</v>
      </c>
      <c r="R16">
        <v>0</v>
      </c>
      <c r="S16">
        <v>3</v>
      </c>
      <c r="T16">
        <v>3</v>
      </c>
      <c r="U16">
        <v>2</v>
      </c>
      <c r="V16">
        <v>15</v>
      </c>
      <c r="W16">
        <v>11</v>
      </c>
    </row>
    <row r="17" spans="1:23">
      <c r="A17" t="s">
        <v>16</v>
      </c>
      <c r="B17">
        <v>0</v>
      </c>
      <c r="C17">
        <v>1</v>
      </c>
      <c r="D17">
        <v>0</v>
      </c>
      <c r="E17">
        <v>0</v>
      </c>
      <c r="F17">
        <v>6</v>
      </c>
      <c r="G17">
        <v>1</v>
      </c>
      <c r="H17">
        <v>0</v>
      </c>
      <c r="I17">
        <v>0</v>
      </c>
      <c r="J17">
        <v>0</v>
      </c>
      <c r="K17">
        <v>0</v>
      </c>
      <c r="L17">
        <v>1</v>
      </c>
      <c r="M17">
        <v>0</v>
      </c>
      <c r="N17">
        <v>0</v>
      </c>
      <c r="O17">
        <v>1</v>
      </c>
      <c r="P17">
        <v>1</v>
      </c>
      <c r="Q17">
        <v>100</v>
      </c>
      <c r="R17">
        <v>10</v>
      </c>
      <c r="S17">
        <v>1</v>
      </c>
      <c r="T17">
        <v>1</v>
      </c>
      <c r="U17">
        <v>21</v>
      </c>
      <c r="V17">
        <v>2</v>
      </c>
      <c r="W17">
        <v>4</v>
      </c>
    </row>
    <row r="18" spans="1:23">
      <c r="A18" t="s">
        <v>17</v>
      </c>
      <c r="B18">
        <v>0</v>
      </c>
      <c r="C18">
        <v>0</v>
      </c>
      <c r="D18">
        <v>0</v>
      </c>
      <c r="E18">
        <v>2</v>
      </c>
      <c r="F18">
        <v>1</v>
      </c>
      <c r="G18">
        <v>3</v>
      </c>
      <c r="H18">
        <v>0</v>
      </c>
      <c r="I18">
        <v>0</v>
      </c>
      <c r="J18">
        <v>0</v>
      </c>
      <c r="K18">
        <v>0</v>
      </c>
      <c r="L18">
        <v>2</v>
      </c>
      <c r="M18">
        <v>0</v>
      </c>
      <c r="N18">
        <v>0</v>
      </c>
      <c r="O18">
        <v>6</v>
      </c>
      <c r="P18">
        <v>0</v>
      </c>
      <c r="Q18">
        <v>39</v>
      </c>
      <c r="R18">
        <v>78</v>
      </c>
      <c r="S18">
        <v>0</v>
      </c>
      <c r="T18">
        <v>0</v>
      </c>
      <c r="U18">
        <v>17</v>
      </c>
      <c r="V18">
        <v>0</v>
      </c>
      <c r="W18">
        <v>2</v>
      </c>
    </row>
    <row r="19" spans="1:23">
      <c r="A19" t="s">
        <v>18</v>
      </c>
      <c r="B19">
        <v>0</v>
      </c>
      <c r="C19">
        <v>1</v>
      </c>
      <c r="D19">
        <v>0</v>
      </c>
      <c r="E19">
        <v>5</v>
      </c>
      <c r="F19">
        <v>2</v>
      </c>
      <c r="G19">
        <v>8</v>
      </c>
      <c r="H19">
        <v>0</v>
      </c>
      <c r="I19">
        <v>0</v>
      </c>
      <c r="J19">
        <v>0</v>
      </c>
      <c r="K19">
        <v>0</v>
      </c>
      <c r="L19">
        <v>0</v>
      </c>
      <c r="M19">
        <v>2</v>
      </c>
      <c r="N19">
        <v>2</v>
      </c>
      <c r="O19">
        <v>4</v>
      </c>
      <c r="P19">
        <v>0</v>
      </c>
      <c r="Q19">
        <v>0</v>
      </c>
      <c r="R19">
        <v>1</v>
      </c>
      <c r="S19">
        <v>92</v>
      </c>
      <c r="T19">
        <v>10</v>
      </c>
      <c r="U19">
        <v>0</v>
      </c>
      <c r="V19">
        <v>0</v>
      </c>
      <c r="W19">
        <v>23</v>
      </c>
    </row>
    <row r="20" spans="1:23">
      <c r="A20" t="s">
        <v>19</v>
      </c>
      <c r="B20">
        <v>1</v>
      </c>
      <c r="C20">
        <v>1</v>
      </c>
      <c r="D20">
        <v>0</v>
      </c>
      <c r="E20">
        <v>1</v>
      </c>
      <c r="F20">
        <v>1</v>
      </c>
      <c r="G20">
        <v>1</v>
      </c>
      <c r="H20">
        <v>0</v>
      </c>
      <c r="I20">
        <v>0</v>
      </c>
      <c r="J20">
        <v>3</v>
      </c>
      <c r="K20">
        <v>0</v>
      </c>
      <c r="L20">
        <v>2</v>
      </c>
      <c r="M20">
        <v>2</v>
      </c>
      <c r="N20">
        <v>1</v>
      </c>
      <c r="O20">
        <v>1</v>
      </c>
      <c r="P20">
        <v>2</v>
      </c>
      <c r="Q20">
        <v>1</v>
      </c>
      <c r="R20">
        <v>0</v>
      </c>
      <c r="S20">
        <v>30</v>
      </c>
      <c r="T20">
        <v>89</v>
      </c>
      <c r="U20">
        <v>0</v>
      </c>
      <c r="V20">
        <v>0</v>
      </c>
      <c r="W20">
        <v>14</v>
      </c>
    </row>
    <row r="21" spans="1:23">
      <c r="A21" t="s">
        <v>40</v>
      </c>
      <c r="B21">
        <v>0</v>
      </c>
      <c r="C21">
        <v>2</v>
      </c>
      <c r="D21">
        <v>0</v>
      </c>
      <c r="E21">
        <v>2</v>
      </c>
      <c r="F21">
        <v>5</v>
      </c>
      <c r="G21">
        <v>6</v>
      </c>
      <c r="H21">
        <v>1</v>
      </c>
      <c r="I21">
        <v>1</v>
      </c>
      <c r="J21">
        <v>0</v>
      </c>
      <c r="K21">
        <v>0</v>
      </c>
      <c r="L21">
        <v>0</v>
      </c>
      <c r="M21">
        <v>1</v>
      </c>
      <c r="N21">
        <v>1</v>
      </c>
      <c r="O21">
        <v>6</v>
      </c>
      <c r="P21">
        <v>1</v>
      </c>
      <c r="Q21">
        <v>44</v>
      </c>
      <c r="R21">
        <v>14</v>
      </c>
      <c r="S21">
        <v>0</v>
      </c>
      <c r="T21">
        <v>0</v>
      </c>
      <c r="U21">
        <v>56</v>
      </c>
      <c r="V21">
        <v>7</v>
      </c>
      <c r="W21">
        <v>3</v>
      </c>
    </row>
    <row r="22" spans="1:23">
      <c r="A22" t="s">
        <v>41</v>
      </c>
      <c r="B22">
        <v>0</v>
      </c>
      <c r="C22">
        <v>0</v>
      </c>
      <c r="D22">
        <v>0</v>
      </c>
      <c r="E22">
        <v>1</v>
      </c>
      <c r="F22">
        <v>4</v>
      </c>
      <c r="G22">
        <v>6</v>
      </c>
      <c r="H22">
        <v>1</v>
      </c>
      <c r="I22">
        <v>10</v>
      </c>
      <c r="J22">
        <v>2</v>
      </c>
      <c r="K22">
        <v>16</v>
      </c>
      <c r="L22">
        <v>6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2</v>
      </c>
      <c r="V22">
        <v>97</v>
      </c>
      <c r="W22">
        <v>4</v>
      </c>
    </row>
    <row r="23" spans="1:23">
      <c r="A23" t="s">
        <v>22</v>
      </c>
      <c r="B23">
        <v>3</v>
      </c>
      <c r="C23">
        <v>7</v>
      </c>
      <c r="D23">
        <v>14</v>
      </c>
      <c r="E23">
        <v>5</v>
      </c>
      <c r="F23">
        <v>5</v>
      </c>
      <c r="G23">
        <v>7</v>
      </c>
      <c r="H23">
        <v>1</v>
      </c>
      <c r="I23">
        <v>2</v>
      </c>
      <c r="J23">
        <v>2</v>
      </c>
      <c r="K23">
        <v>0</v>
      </c>
      <c r="L23">
        <v>2</v>
      </c>
      <c r="M23">
        <v>6</v>
      </c>
      <c r="N23">
        <v>0</v>
      </c>
      <c r="O23">
        <v>4</v>
      </c>
      <c r="P23">
        <v>3</v>
      </c>
      <c r="Q23">
        <v>5</v>
      </c>
      <c r="R23">
        <v>4</v>
      </c>
      <c r="S23">
        <v>11</v>
      </c>
      <c r="T23">
        <v>7</v>
      </c>
      <c r="U23">
        <v>2</v>
      </c>
      <c r="V23">
        <v>1</v>
      </c>
      <c r="W23">
        <v>59</v>
      </c>
    </row>
    <row r="24" spans="1:23">
      <c r="A24" s="1"/>
      <c r="B24">
        <v>92</v>
      </c>
      <c r="C24">
        <v>196</v>
      </c>
      <c r="D24">
        <v>275</v>
      </c>
      <c r="E24">
        <v>170</v>
      </c>
      <c r="F24">
        <v>213</v>
      </c>
      <c r="G24">
        <v>228</v>
      </c>
      <c r="H24">
        <v>246</v>
      </c>
      <c r="I24">
        <v>104</v>
      </c>
      <c r="J24">
        <v>165</v>
      </c>
      <c r="K24">
        <v>166</v>
      </c>
      <c r="L24">
        <v>97</v>
      </c>
      <c r="M24">
        <v>66</v>
      </c>
      <c r="N24">
        <v>30</v>
      </c>
      <c r="O24">
        <v>106</v>
      </c>
      <c r="P24">
        <v>27</v>
      </c>
      <c r="Q24">
        <v>201</v>
      </c>
      <c r="R24">
        <v>108</v>
      </c>
      <c r="S24">
        <v>141</v>
      </c>
      <c r="T24">
        <v>122</v>
      </c>
      <c r="U24">
        <v>105</v>
      </c>
      <c r="V24">
        <v>230</v>
      </c>
      <c r="W24">
        <v>212</v>
      </c>
    </row>
    <row r="25" spans="1:23">
      <c r="A25" s="1"/>
    </row>
    <row r="26" spans="1:23">
      <c r="A26" s="1" t="s">
        <v>24</v>
      </c>
      <c r="B26">
        <f>SUM(B2:B23)</f>
        <v>92</v>
      </c>
      <c r="C26">
        <f t="shared" ref="C26:W26" si="0">SUM(C2:C23)</f>
        <v>196</v>
      </c>
      <c r="D26">
        <f t="shared" si="0"/>
        <v>275</v>
      </c>
      <c r="E26">
        <f t="shared" si="0"/>
        <v>170</v>
      </c>
      <c r="F26">
        <f t="shared" si="0"/>
        <v>213</v>
      </c>
      <c r="G26">
        <f t="shared" si="0"/>
        <v>228</v>
      </c>
      <c r="H26">
        <f t="shared" si="0"/>
        <v>246</v>
      </c>
      <c r="I26">
        <f t="shared" si="0"/>
        <v>104</v>
      </c>
      <c r="J26">
        <f t="shared" si="0"/>
        <v>165</v>
      </c>
      <c r="K26">
        <f t="shared" si="0"/>
        <v>166</v>
      </c>
      <c r="L26">
        <f t="shared" si="0"/>
        <v>97</v>
      </c>
      <c r="M26">
        <f t="shared" si="0"/>
        <v>66</v>
      </c>
      <c r="N26">
        <f t="shared" si="0"/>
        <v>30</v>
      </c>
      <c r="O26">
        <f t="shared" si="0"/>
        <v>106</v>
      </c>
      <c r="P26">
        <f t="shared" si="0"/>
        <v>27</v>
      </c>
      <c r="Q26">
        <f t="shared" si="0"/>
        <v>201</v>
      </c>
      <c r="R26">
        <f t="shared" si="0"/>
        <v>108</v>
      </c>
      <c r="S26">
        <f t="shared" si="0"/>
        <v>141</v>
      </c>
      <c r="T26">
        <f t="shared" si="0"/>
        <v>122</v>
      </c>
      <c r="U26">
        <f t="shared" si="0"/>
        <v>105</v>
      </c>
      <c r="V26">
        <f t="shared" si="0"/>
        <v>230</v>
      </c>
      <c r="W26">
        <f t="shared" si="0"/>
        <v>212</v>
      </c>
    </row>
    <row r="28" spans="1:23">
      <c r="A28" t="s">
        <v>42</v>
      </c>
      <c r="B28">
        <f>B26-B24</f>
        <v>0</v>
      </c>
      <c r="C28">
        <f t="shared" ref="C28:W28" si="1">C26-C24</f>
        <v>0</v>
      </c>
      <c r="D28">
        <f t="shared" si="1"/>
        <v>0</v>
      </c>
      <c r="E28">
        <f t="shared" si="1"/>
        <v>0</v>
      </c>
      <c r="F28">
        <f t="shared" si="1"/>
        <v>0</v>
      </c>
      <c r="G28">
        <f t="shared" si="1"/>
        <v>0</v>
      </c>
      <c r="H28">
        <f t="shared" si="1"/>
        <v>0</v>
      </c>
      <c r="I28">
        <f t="shared" si="1"/>
        <v>0</v>
      </c>
      <c r="J28">
        <f t="shared" si="1"/>
        <v>0</v>
      </c>
      <c r="K28">
        <f t="shared" si="1"/>
        <v>0</v>
      </c>
      <c r="L28">
        <f t="shared" si="1"/>
        <v>0</v>
      </c>
      <c r="M28">
        <f t="shared" si="1"/>
        <v>0</v>
      </c>
      <c r="N28">
        <f t="shared" si="1"/>
        <v>0</v>
      </c>
      <c r="O28">
        <f t="shared" si="1"/>
        <v>0</v>
      </c>
      <c r="P28">
        <f t="shared" si="1"/>
        <v>0</v>
      </c>
      <c r="Q28">
        <f t="shared" si="1"/>
        <v>0</v>
      </c>
      <c r="R28">
        <f t="shared" si="1"/>
        <v>0</v>
      </c>
      <c r="S28">
        <f t="shared" si="1"/>
        <v>0</v>
      </c>
      <c r="T28">
        <f t="shared" si="1"/>
        <v>0</v>
      </c>
      <c r="U28">
        <f t="shared" si="1"/>
        <v>0</v>
      </c>
      <c r="V28">
        <f t="shared" si="1"/>
        <v>0</v>
      </c>
      <c r="W28">
        <f t="shared" si="1"/>
        <v>0</v>
      </c>
    </row>
    <row r="29" spans="1:23">
      <c r="V29" s="4"/>
    </row>
    <row r="33" spans="1:1">
      <c r="A33" t="s">
        <v>51</v>
      </c>
    </row>
  </sheetData>
  <sheetCalcPr fullCalcOnLoad="1"/>
  <phoneticPr fontId="3"/>
  <pageMargins left="0.75" right="0.75" top="1" bottom="1" header="0.5" footer="0.5"/>
  <pageSetup orientation="landscape" horizontalDpi="4294967292" verticalDpi="4294967292"/>
  <extLst>
    <ext xmlns:mx="http://schemas.microsoft.com/office/mac/excel/2008/main" uri="http://schemas.microsoft.com/office/mac/excel/2008/main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W33"/>
  <sheetViews>
    <sheetView tabSelected="1" workbookViewId="0">
      <selection activeCell="H34" sqref="H34"/>
    </sheetView>
  </sheetViews>
  <sheetFormatPr baseColWidth="10" defaultRowHeight="13"/>
  <cols>
    <col min="1" max="12" width="4.140625" customWidth="1"/>
    <col min="13" max="25" width="4" customWidth="1"/>
  </cols>
  <sheetData>
    <row r="1" spans="1:23">
      <c r="A1" s="2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16</v>
      </c>
      <c r="R1" t="s">
        <v>17</v>
      </c>
      <c r="S1" t="s">
        <v>18</v>
      </c>
      <c r="T1" t="s">
        <v>19</v>
      </c>
      <c r="U1" t="s">
        <v>40</v>
      </c>
      <c r="V1" t="s">
        <v>41</v>
      </c>
      <c r="W1" t="s">
        <v>22</v>
      </c>
    </row>
    <row r="2" spans="1:23" ht="13" customHeight="1">
      <c r="A2" t="s">
        <v>0</v>
      </c>
      <c r="B2">
        <v>27</v>
      </c>
      <c r="C2">
        <v>24</v>
      </c>
      <c r="D2">
        <v>31</v>
      </c>
      <c r="E2">
        <v>1</v>
      </c>
      <c r="F2">
        <v>0</v>
      </c>
      <c r="G2">
        <v>1</v>
      </c>
      <c r="H2">
        <v>27</v>
      </c>
      <c r="I2">
        <v>0</v>
      </c>
      <c r="J2">
        <v>11</v>
      </c>
      <c r="K2">
        <v>6</v>
      </c>
      <c r="L2">
        <v>1</v>
      </c>
      <c r="M2">
        <v>7</v>
      </c>
      <c r="N2">
        <v>1</v>
      </c>
      <c r="O2">
        <v>2</v>
      </c>
      <c r="P2">
        <v>0</v>
      </c>
      <c r="Q2">
        <v>0</v>
      </c>
      <c r="R2">
        <v>1</v>
      </c>
      <c r="S2">
        <v>1</v>
      </c>
      <c r="T2">
        <v>0</v>
      </c>
      <c r="U2">
        <v>0</v>
      </c>
      <c r="V2">
        <v>1</v>
      </c>
      <c r="W2">
        <v>8</v>
      </c>
    </row>
    <row r="3" spans="1:23" ht="13" customHeight="1">
      <c r="A3" t="s">
        <v>1</v>
      </c>
      <c r="B3">
        <v>11</v>
      </c>
      <c r="C3">
        <v>36</v>
      </c>
      <c r="D3">
        <v>29</v>
      </c>
      <c r="E3">
        <v>0</v>
      </c>
      <c r="F3">
        <v>1</v>
      </c>
      <c r="G3">
        <v>2</v>
      </c>
      <c r="H3">
        <v>20</v>
      </c>
      <c r="I3">
        <v>4</v>
      </c>
      <c r="J3">
        <v>10</v>
      </c>
      <c r="K3">
        <v>4</v>
      </c>
      <c r="L3">
        <v>0</v>
      </c>
      <c r="M3">
        <v>4</v>
      </c>
      <c r="N3">
        <v>4</v>
      </c>
      <c r="O3">
        <v>2</v>
      </c>
      <c r="P3">
        <v>1</v>
      </c>
      <c r="Q3">
        <v>2</v>
      </c>
      <c r="R3">
        <v>2</v>
      </c>
      <c r="S3">
        <v>0</v>
      </c>
      <c r="T3">
        <v>2</v>
      </c>
      <c r="U3">
        <v>0</v>
      </c>
      <c r="V3">
        <v>2</v>
      </c>
      <c r="W3">
        <v>14</v>
      </c>
    </row>
    <row r="4" spans="1:23">
      <c r="A4" t="s">
        <v>2</v>
      </c>
      <c r="B4">
        <v>11</v>
      </c>
      <c r="C4">
        <v>39</v>
      </c>
      <c r="D4">
        <v>35</v>
      </c>
      <c r="E4">
        <v>1</v>
      </c>
      <c r="F4">
        <v>0</v>
      </c>
      <c r="G4">
        <v>2</v>
      </c>
      <c r="H4">
        <v>22</v>
      </c>
      <c r="I4">
        <v>2</v>
      </c>
      <c r="J4">
        <v>13</v>
      </c>
      <c r="K4">
        <v>3</v>
      </c>
      <c r="L4">
        <v>1</v>
      </c>
      <c r="M4">
        <v>5</v>
      </c>
      <c r="N4">
        <v>1</v>
      </c>
      <c r="O4">
        <v>0</v>
      </c>
      <c r="P4">
        <v>0</v>
      </c>
      <c r="Q4">
        <v>2</v>
      </c>
      <c r="R4">
        <v>0</v>
      </c>
      <c r="S4">
        <v>0</v>
      </c>
      <c r="T4">
        <v>1</v>
      </c>
      <c r="U4">
        <v>0</v>
      </c>
      <c r="V4">
        <v>1</v>
      </c>
      <c r="W4">
        <v>11</v>
      </c>
    </row>
    <row r="5" spans="1:23">
      <c r="A5" t="s">
        <v>3</v>
      </c>
      <c r="B5">
        <v>5</v>
      </c>
      <c r="C5">
        <v>13</v>
      </c>
      <c r="D5">
        <v>7</v>
      </c>
      <c r="E5">
        <v>27</v>
      </c>
      <c r="F5">
        <v>15</v>
      </c>
      <c r="G5">
        <v>33</v>
      </c>
      <c r="H5">
        <v>1</v>
      </c>
      <c r="I5">
        <v>4</v>
      </c>
      <c r="J5">
        <v>1</v>
      </c>
      <c r="K5">
        <v>3</v>
      </c>
      <c r="L5">
        <v>1</v>
      </c>
      <c r="M5">
        <v>2</v>
      </c>
      <c r="N5">
        <v>2</v>
      </c>
      <c r="O5">
        <v>2</v>
      </c>
      <c r="P5">
        <v>1</v>
      </c>
      <c r="Q5">
        <v>2</v>
      </c>
      <c r="R5">
        <v>1</v>
      </c>
      <c r="S5">
        <v>0</v>
      </c>
      <c r="T5">
        <v>1</v>
      </c>
      <c r="U5">
        <v>3</v>
      </c>
      <c r="V5">
        <v>9</v>
      </c>
      <c r="W5">
        <v>17</v>
      </c>
    </row>
    <row r="6" spans="1:23">
      <c r="A6" t="s">
        <v>4</v>
      </c>
      <c r="B6">
        <v>2</v>
      </c>
      <c r="C6">
        <v>7</v>
      </c>
      <c r="D6">
        <v>3</v>
      </c>
      <c r="E6">
        <v>6</v>
      </c>
      <c r="F6">
        <v>20</v>
      </c>
      <c r="G6">
        <v>27</v>
      </c>
      <c r="H6">
        <v>9</v>
      </c>
      <c r="I6">
        <v>7</v>
      </c>
      <c r="J6">
        <v>8</v>
      </c>
      <c r="K6">
        <v>6</v>
      </c>
      <c r="L6">
        <v>1</v>
      </c>
      <c r="M6">
        <v>5</v>
      </c>
      <c r="N6">
        <v>3</v>
      </c>
      <c r="O6">
        <v>8</v>
      </c>
      <c r="P6">
        <v>2</v>
      </c>
      <c r="Q6">
        <v>2</v>
      </c>
      <c r="R6">
        <v>2</v>
      </c>
      <c r="S6">
        <v>3</v>
      </c>
      <c r="T6">
        <v>0</v>
      </c>
      <c r="U6">
        <v>1</v>
      </c>
      <c r="V6">
        <v>11</v>
      </c>
      <c r="W6">
        <v>17</v>
      </c>
    </row>
    <row r="7" spans="1:23">
      <c r="A7" t="s">
        <v>5</v>
      </c>
      <c r="B7">
        <v>3</v>
      </c>
      <c r="C7">
        <v>8</v>
      </c>
      <c r="D7">
        <v>10</v>
      </c>
      <c r="E7">
        <v>8</v>
      </c>
      <c r="F7">
        <v>8</v>
      </c>
      <c r="G7">
        <v>46</v>
      </c>
      <c r="H7">
        <v>5</v>
      </c>
      <c r="I7">
        <v>5</v>
      </c>
      <c r="J7">
        <v>3</v>
      </c>
      <c r="K7">
        <v>3</v>
      </c>
      <c r="L7">
        <v>3</v>
      </c>
      <c r="M7">
        <v>8</v>
      </c>
      <c r="N7">
        <v>1</v>
      </c>
      <c r="O7">
        <v>8</v>
      </c>
      <c r="P7">
        <v>0</v>
      </c>
      <c r="Q7">
        <v>0</v>
      </c>
      <c r="R7">
        <v>2</v>
      </c>
      <c r="S7">
        <v>0</v>
      </c>
      <c r="T7">
        <v>1</v>
      </c>
      <c r="U7">
        <v>6</v>
      </c>
      <c r="V7">
        <v>10</v>
      </c>
      <c r="W7">
        <v>12</v>
      </c>
    </row>
    <row r="8" spans="1:23">
      <c r="A8" t="s">
        <v>6</v>
      </c>
      <c r="B8">
        <v>6</v>
      </c>
      <c r="C8">
        <v>21</v>
      </c>
      <c r="D8">
        <v>12</v>
      </c>
      <c r="E8">
        <v>0</v>
      </c>
      <c r="F8">
        <v>1</v>
      </c>
      <c r="G8">
        <v>0</v>
      </c>
      <c r="H8">
        <v>70</v>
      </c>
      <c r="I8">
        <v>2</v>
      </c>
      <c r="J8">
        <v>6</v>
      </c>
      <c r="K8">
        <v>11</v>
      </c>
      <c r="L8">
        <v>0</v>
      </c>
      <c r="M8">
        <v>3</v>
      </c>
      <c r="N8">
        <v>2</v>
      </c>
      <c r="O8">
        <v>0</v>
      </c>
      <c r="P8">
        <v>2</v>
      </c>
      <c r="Q8">
        <v>1</v>
      </c>
      <c r="R8">
        <v>0</v>
      </c>
      <c r="S8">
        <v>0</v>
      </c>
      <c r="T8">
        <v>1</v>
      </c>
      <c r="U8">
        <v>0</v>
      </c>
      <c r="V8">
        <v>5</v>
      </c>
      <c r="W8">
        <v>7</v>
      </c>
    </row>
    <row r="9" spans="1:23">
      <c r="A9" t="s">
        <v>7</v>
      </c>
      <c r="B9">
        <v>7</v>
      </c>
      <c r="C9">
        <v>8</v>
      </c>
      <c r="D9">
        <v>4</v>
      </c>
      <c r="E9">
        <v>8</v>
      </c>
      <c r="F9">
        <v>11</v>
      </c>
      <c r="G9">
        <v>23</v>
      </c>
      <c r="H9">
        <v>10</v>
      </c>
      <c r="I9">
        <v>11</v>
      </c>
      <c r="J9">
        <v>5</v>
      </c>
      <c r="K9">
        <v>8</v>
      </c>
      <c r="L9">
        <v>4</v>
      </c>
      <c r="M9">
        <v>2</v>
      </c>
      <c r="N9">
        <v>5</v>
      </c>
      <c r="O9">
        <v>2</v>
      </c>
      <c r="P9">
        <v>1</v>
      </c>
      <c r="Q9">
        <v>8</v>
      </c>
      <c r="R9">
        <v>0</v>
      </c>
      <c r="S9">
        <v>0</v>
      </c>
      <c r="T9">
        <v>2</v>
      </c>
      <c r="U9">
        <v>1</v>
      </c>
      <c r="V9">
        <v>19</v>
      </c>
      <c r="W9">
        <v>11</v>
      </c>
    </row>
    <row r="10" spans="1:23">
      <c r="A10" t="s">
        <v>8</v>
      </c>
      <c r="B10">
        <v>9</v>
      </c>
      <c r="C10">
        <v>21</v>
      </c>
      <c r="D10">
        <v>26</v>
      </c>
      <c r="E10">
        <v>2</v>
      </c>
      <c r="F10">
        <v>1</v>
      </c>
      <c r="G10">
        <v>6</v>
      </c>
      <c r="H10">
        <v>18</v>
      </c>
      <c r="I10">
        <v>3</v>
      </c>
      <c r="J10">
        <v>24</v>
      </c>
      <c r="K10">
        <v>5</v>
      </c>
      <c r="L10">
        <v>1</v>
      </c>
      <c r="M10">
        <v>5</v>
      </c>
      <c r="N10">
        <v>3</v>
      </c>
      <c r="O10">
        <v>3</v>
      </c>
      <c r="P10">
        <v>0</v>
      </c>
      <c r="Q10">
        <v>2</v>
      </c>
      <c r="R10">
        <v>0</v>
      </c>
      <c r="S10">
        <v>2</v>
      </c>
      <c r="T10">
        <v>1</v>
      </c>
      <c r="U10">
        <v>2</v>
      </c>
      <c r="V10">
        <v>3</v>
      </c>
      <c r="W10">
        <v>13</v>
      </c>
    </row>
    <row r="11" spans="1:23">
      <c r="A11" t="s">
        <v>9</v>
      </c>
      <c r="B11">
        <v>6</v>
      </c>
      <c r="C11">
        <v>14</v>
      </c>
      <c r="D11">
        <v>16</v>
      </c>
      <c r="E11">
        <v>2</v>
      </c>
      <c r="F11">
        <v>1</v>
      </c>
      <c r="G11">
        <v>0</v>
      </c>
      <c r="H11">
        <v>42</v>
      </c>
      <c r="I11">
        <v>1</v>
      </c>
      <c r="J11">
        <v>5</v>
      </c>
      <c r="K11">
        <v>29</v>
      </c>
      <c r="L11">
        <v>0</v>
      </c>
      <c r="M11">
        <v>3</v>
      </c>
      <c r="N11">
        <v>8</v>
      </c>
      <c r="O11">
        <v>1</v>
      </c>
      <c r="P11">
        <v>1</v>
      </c>
      <c r="Q11">
        <v>1</v>
      </c>
      <c r="R11">
        <v>0</v>
      </c>
      <c r="S11">
        <v>0</v>
      </c>
      <c r="T11">
        <v>0</v>
      </c>
      <c r="U11">
        <v>0</v>
      </c>
      <c r="V11">
        <v>6</v>
      </c>
      <c r="W11">
        <v>14</v>
      </c>
    </row>
    <row r="12" spans="1:23">
      <c r="A12" t="s">
        <v>10</v>
      </c>
      <c r="B12">
        <v>2</v>
      </c>
      <c r="C12">
        <v>2</v>
      </c>
      <c r="D12">
        <v>0</v>
      </c>
      <c r="E12">
        <v>6</v>
      </c>
      <c r="F12">
        <v>11</v>
      </c>
      <c r="G12">
        <v>13</v>
      </c>
      <c r="H12">
        <v>2</v>
      </c>
      <c r="I12">
        <v>5</v>
      </c>
      <c r="J12">
        <v>3</v>
      </c>
      <c r="K12">
        <v>1</v>
      </c>
      <c r="L12">
        <v>5</v>
      </c>
      <c r="M12">
        <v>2</v>
      </c>
      <c r="N12">
        <v>1</v>
      </c>
      <c r="O12">
        <v>11</v>
      </c>
      <c r="P12">
        <v>6</v>
      </c>
      <c r="Q12">
        <v>17</v>
      </c>
      <c r="R12">
        <v>2</v>
      </c>
      <c r="S12">
        <v>2</v>
      </c>
      <c r="T12">
        <v>5</v>
      </c>
      <c r="U12">
        <v>6</v>
      </c>
      <c r="V12">
        <v>22</v>
      </c>
      <c r="W12">
        <v>26</v>
      </c>
    </row>
    <row r="13" spans="1:23">
      <c r="A13" t="s">
        <v>11</v>
      </c>
      <c r="B13">
        <v>9</v>
      </c>
      <c r="C13">
        <v>36</v>
      </c>
      <c r="D13">
        <v>24</v>
      </c>
      <c r="E13">
        <v>1</v>
      </c>
      <c r="F13">
        <v>3</v>
      </c>
      <c r="G13">
        <v>4</v>
      </c>
      <c r="H13">
        <v>16</v>
      </c>
      <c r="I13">
        <v>1</v>
      </c>
      <c r="J13">
        <v>12</v>
      </c>
      <c r="K13">
        <v>10</v>
      </c>
      <c r="L13">
        <v>0</v>
      </c>
      <c r="M13">
        <v>13</v>
      </c>
      <c r="N13">
        <v>3</v>
      </c>
      <c r="O13">
        <v>1</v>
      </c>
      <c r="P13">
        <v>3</v>
      </c>
      <c r="Q13">
        <v>1</v>
      </c>
      <c r="R13">
        <v>1</v>
      </c>
      <c r="S13">
        <v>0</v>
      </c>
      <c r="T13">
        <v>0</v>
      </c>
      <c r="U13">
        <v>0</v>
      </c>
      <c r="V13">
        <v>0</v>
      </c>
      <c r="W13">
        <v>12</v>
      </c>
    </row>
    <row r="14" spans="1:23">
      <c r="A14" t="s">
        <v>12</v>
      </c>
      <c r="B14">
        <v>9</v>
      </c>
      <c r="C14">
        <v>29</v>
      </c>
      <c r="D14">
        <v>29</v>
      </c>
      <c r="E14">
        <v>0</v>
      </c>
      <c r="F14">
        <v>1</v>
      </c>
      <c r="G14">
        <v>7</v>
      </c>
      <c r="H14">
        <v>21</v>
      </c>
      <c r="I14">
        <v>0</v>
      </c>
      <c r="J14">
        <v>12</v>
      </c>
      <c r="K14">
        <v>7</v>
      </c>
      <c r="L14">
        <v>0</v>
      </c>
      <c r="M14">
        <v>6</v>
      </c>
      <c r="N14">
        <v>4</v>
      </c>
      <c r="O14">
        <v>1</v>
      </c>
      <c r="P14">
        <v>3</v>
      </c>
      <c r="Q14">
        <v>3</v>
      </c>
      <c r="R14">
        <v>1</v>
      </c>
      <c r="S14">
        <v>2</v>
      </c>
      <c r="T14">
        <v>0</v>
      </c>
      <c r="U14">
        <v>0</v>
      </c>
      <c r="V14">
        <v>1</v>
      </c>
      <c r="W14">
        <v>14</v>
      </c>
    </row>
    <row r="15" spans="1:23">
      <c r="A15" t="s">
        <v>13</v>
      </c>
      <c r="B15">
        <v>2</v>
      </c>
      <c r="C15">
        <v>2</v>
      </c>
      <c r="D15">
        <v>5</v>
      </c>
      <c r="E15">
        <v>7</v>
      </c>
      <c r="F15">
        <v>11</v>
      </c>
      <c r="G15">
        <v>23</v>
      </c>
      <c r="H15">
        <v>1</v>
      </c>
      <c r="I15">
        <v>5</v>
      </c>
      <c r="J15">
        <v>2</v>
      </c>
      <c r="K15">
        <v>1</v>
      </c>
      <c r="L15">
        <v>13</v>
      </c>
      <c r="M15">
        <v>2</v>
      </c>
      <c r="N15">
        <v>1</v>
      </c>
      <c r="O15">
        <v>17</v>
      </c>
      <c r="P15">
        <v>2</v>
      </c>
      <c r="Q15">
        <v>5</v>
      </c>
      <c r="R15">
        <v>3</v>
      </c>
      <c r="S15">
        <v>8</v>
      </c>
      <c r="T15">
        <v>4</v>
      </c>
      <c r="U15">
        <v>4</v>
      </c>
      <c r="V15">
        <v>13</v>
      </c>
      <c r="W15">
        <v>19</v>
      </c>
    </row>
    <row r="16" spans="1:23">
      <c r="A16" t="s">
        <v>14</v>
      </c>
      <c r="B16">
        <v>4</v>
      </c>
      <c r="C16">
        <v>4</v>
      </c>
      <c r="D16">
        <v>3</v>
      </c>
      <c r="E16">
        <v>6</v>
      </c>
      <c r="F16">
        <v>11</v>
      </c>
      <c r="G16">
        <v>28</v>
      </c>
      <c r="H16">
        <v>2</v>
      </c>
      <c r="I16">
        <v>8</v>
      </c>
      <c r="J16">
        <v>7</v>
      </c>
      <c r="K16">
        <v>0</v>
      </c>
      <c r="L16">
        <v>5</v>
      </c>
      <c r="M16">
        <v>4</v>
      </c>
      <c r="N16">
        <v>3</v>
      </c>
      <c r="O16">
        <v>14</v>
      </c>
      <c r="P16">
        <v>4</v>
      </c>
      <c r="Q16">
        <v>4</v>
      </c>
      <c r="R16">
        <v>2</v>
      </c>
      <c r="S16">
        <v>9</v>
      </c>
      <c r="T16">
        <v>3</v>
      </c>
      <c r="U16">
        <v>4</v>
      </c>
      <c r="V16">
        <v>12</v>
      </c>
      <c r="W16">
        <v>13</v>
      </c>
    </row>
    <row r="17" spans="1:23">
      <c r="A17" t="s">
        <v>16</v>
      </c>
      <c r="B17">
        <v>2</v>
      </c>
      <c r="C17">
        <v>3</v>
      </c>
      <c r="D17">
        <v>2</v>
      </c>
      <c r="E17">
        <v>7</v>
      </c>
      <c r="F17">
        <v>6</v>
      </c>
      <c r="G17">
        <v>6</v>
      </c>
      <c r="H17">
        <v>0</v>
      </c>
      <c r="I17">
        <v>1</v>
      </c>
      <c r="J17">
        <v>1</v>
      </c>
      <c r="K17">
        <v>0</v>
      </c>
      <c r="L17">
        <v>3</v>
      </c>
      <c r="M17">
        <v>1</v>
      </c>
      <c r="N17">
        <v>1</v>
      </c>
      <c r="O17">
        <v>6</v>
      </c>
      <c r="P17">
        <v>2</v>
      </c>
      <c r="Q17">
        <v>58</v>
      </c>
      <c r="R17">
        <v>10</v>
      </c>
      <c r="S17">
        <v>4</v>
      </c>
      <c r="T17">
        <v>0</v>
      </c>
      <c r="U17">
        <v>23</v>
      </c>
      <c r="V17">
        <v>5</v>
      </c>
      <c r="W17">
        <v>9</v>
      </c>
    </row>
    <row r="18" spans="1:23">
      <c r="A18" t="s">
        <v>17</v>
      </c>
      <c r="B18">
        <v>1</v>
      </c>
      <c r="C18">
        <v>1</v>
      </c>
      <c r="D18">
        <v>4</v>
      </c>
      <c r="E18">
        <v>6</v>
      </c>
      <c r="F18">
        <v>6</v>
      </c>
      <c r="G18">
        <v>5</v>
      </c>
      <c r="H18">
        <v>1</v>
      </c>
      <c r="I18">
        <v>0</v>
      </c>
      <c r="J18">
        <v>0</v>
      </c>
      <c r="K18">
        <v>0</v>
      </c>
      <c r="L18">
        <v>1</v>
      </c>
      <c r="M18">
        <v>1</v>
      </c>
      <c r="N18">
        <v>0</v>
      </c>
      <c r="O18">
        <v>5</v>
      </c>
      <c r="P18">
        <v>1</v>
      </c>
      <c r="Q18">
        <v>44</v>
      </c>
      <c r="R18">
        <v>29</v>
      </c>
      <c r="S18">
        <v>3</v>
      </c>
      <c r="T18">
        <v>3</v>
      </c>
      <c r="U18">
        <v>22</v>
      </c>
      <c r="V18">
        <v>2</v>
      </c>
      <c r="W18">
        <v>15</v>
      </c>
    </row>
    <row r="19" spans="1:23">
      <c r="A19" t="s">
        <v>18</v>
      </c>
      <c r="B19">
        <v>1</v>
      </c>
      <c r="C19">
        <v>6</v>
      </c>
      <c r="D19">
        <v>4</v>
      </c>
      <c r="E19">
        <v>5</v>
      </c>
      <c r="F19">
        <v>7</v>
      </c>
      <c r="G19">
        <v>14</v>
      </c>
      <c r="H19">
        <v>1</v>
      </c>
      <c r="I19">
        <v>3</v>
      </c>
      <c r="J19">
        <v>0</v>
      </c>
      <c r="K19">
        <v>0</v>
      </c>
      <c r="L19">
        <v>0</v>
      </c>
      <c r="M19">
        <v>2</v>
      </c>
      <c r="N19">
        <v>1</v>
      </c>
      <c r="O19">
        <v>4</v>
      </c>
      <c r="P19">
        <v>2</v>
      </c>
      <c r="Q19">
        <v>1</v>
      </c>
      <c r="R19">
        <v>0</v>
      </c>
      <c r="S19">
        <v>37</v>
      </c>
      <c r="T19">
        <v>24</v>
      </c>
      <c r="U19">
        <v>2</v>
      </c>
      <c r="V19">
        <v>0</v>
      </c>
      <c r="W19">
        <v>36</v>
      </c>
    </row>
    <row r="20" spans="1:23">
      <c r="A20" t="s">
        <v>19</v>
      </c>
      <c r="B20">
        <v>1</v>
      </c>
      <c r="C20">
        <v>4</v>
      </c>
      <c r="D20">
        <v>2</v>
      </c>
      <c r="E20">
        <v>2</v>
      </c>
      <c r="F20">
        <v>7</v>
      </c>
      <c r="G20">
        <v>7</v>
      </c>
      <c r="H20">
        <v>1</v>
      </c>
      <c r="I20">
        <v>2</v>
      </c>
      <c r="J20">
        <v>6</v>
      </c>
      <c r="K20">
        <v>1</v>
      </c>
      <c r="L20">
        <v>5</v>
      </c>
      <c r="M20">
        <v>3</v>
      </c>
      <c r="N20">
        <v>2</v>
      </c>
      <c r="O20">
        <v>4</v>
      </c>
      <c r="P20">
        <v>2</v>
      </c>
      <c r="Q20">
        <v>4</v>
      </c>
      <c r="R20">
        <v>0</v>
      </c>
      <c r="S20">
        <v>30</v>
      </c>
      <c r="T20">
        <v>35</v>
      </c>
      <c r="U20">
        <v>1</v>
      </c>
      <c r="V20">
        <v>2</v>
      </c>
      <c r="W20">
        <v>29</v>
      </c>
    </row>
    <row r="21" spans="1:23">
      <c r="A21" t="s">
        <v>40</v>
      </c>
      <c r="B21">
        <v>1</v>
      </c>
      <c r="C21">
        <v>1</v>
      </c>
      <c r="D21">
        <v>0</v>
      </c>
      <c r="E21">
        <v>3</v>
      </c>
      <c r="F21">
        <v>6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2</v>
      </c>
      <c r="P21">
        <v>0</v>
      </c>
      <c r="Q21">
        <v>47</v>
      </c>
      <c r="R21">
        <v>23</v>
      </c>
      <c r="S21">
        <v>2</v>
      </c>
      <c r="T21">
        <v>0</v>
      </c>
      <c r="U21">
        <v>48</v>
      </c>
      <c r="V21">
        <v>4</v>
      </c>
      <c r="W21">
        <v>13</v>
      </c>
    </row>
    <row r="22" spans="1:23">
      <c r="A22" t="s">
        <v>41</v>
      </c>
      <c r="B22">
        <v>3</v>
      </c>
      <c r="C22">
        <v>5</v>
      </c>
      <c r="D22">
        <v>0</v>
      </c>
      <c r="E22">
        <v>10</v>
      </c>
      <c r="F22">
        <v>12</v>
      </c>
      <c r="G22">
        <v>21</v>
      </c>
      <c r="H22">
        <v>0</v>
      </c>
      <c r="I22">
        <v>5</v>
      </c>
      <c r="J22">
        <v>4</v>
      </c>
      <c r="K22">
        <v>1</v>
      </c>
      <c r="L22">
        <v>17</v>
      </c>
      <c r="M22">
        <v>0</v>
      </c>
      <c r="N22">
        <v>2</v>
      </c>
      <c r="O22">
        <v>7</v>
      </c>
      <c r="P22">
        <v>2</v>
      </c>
      <c r="Q22">
        <v>4</v>
      </c>
      <c r="R22">
        <v>1</v>
      </c>
      <c r="S22">
        <v>4</v>
      </c>
      <c r="T22">
        <v>2</v>
      </c>
      <c r="U22">
        <v>7</v>
      </c>
      <c r="V22">
        <v>30</v>
      </c>
      <c r="W22">
        <v>13</v>
      </c>
    </row>
    <row r="23" spans="1:23">
      <c r="A23" t="s">
        <v>22</v>
      </c>
      <c r="B23">
        <v>4</v>
      </c>
      <c r="C23">
        <v>16</v>
      </c>
      <c r="D23">
        <v>12</v>
      </c>
      <c r="E23">
        <v>7</v>
      </c>
      <c r="F23">
        <v>7</v>
      </c>
      <c r="G23">
        <v>6</v>
      </c>
      <c r="H23">
        <v>4</v>
      </c>
      <c r="I23">
        <v>1</v>
      </c>
      <c r="J23">
        <v>8</v>
      </c>
      <c r="K23">
        <v>2</v>
      </c>
      <c r="L23">
        <v>4</v>
      </c>
      <c r="M23">
        <v>7</v>
      </c>
      <c r="N23">
        <v>1</v>
      </c>
      <c r="O23">
        <v>5</v>
      </c>
      <c r="P23">
        <v>1</v>
      </c>
      <c r="Q23">
        <v>5</v>
      </c>
      <c r="R23">
        <v>1</v>
      </c>
      <c r="S23">
        <v>8</v>
      </c>
      <c r="T23">
        <v>7</v>
      </c>
      <c r="U23">
        <v>1</v>
      </c>
      <c r="V23">
        <v>3</v>
      </c>
      <c r="W23">
        <v>40</v>
      </c>
    </row>
    <row r="24" spans="1:23">
      <c r="A24" s="1"/>
      <c r="B24">
        <v>126</v>
      </c>
      <c r="C24">
        <v>300</v>
      </c>
      <c r="D24">
        <v>258</v>
      </c>
      <c r="E24">
        <v>115</v>
      </c>
      <c r="F24">
        <v>146</v>
      </c>
      <c r="G24">
        <v>274</v>
      </c>
      <c r="H24">
        <v>273</v>
      </c>
      <c r="I24">
        <v>70</v>
      </c>
      <c r="J24">
        <v>141</v>
      </c>
      <c r="K24">
        <v>101</v>
      </c>
      <c r="L24">
        <v>65</v>
      </c>
      <c r="M24">
        <v>85</v>
      </c>
      <c r="N24">
        <v>49</v>
      </c>
      <c r="O24">
        <v>105</v>
      </c>
      <c r="P24">
        <v>36</v>
      </c>
      <c r="Q24">
        <v>213</v>
      </c>
      <c r="R24">
        <v>81</v>
      </c>
      <c r="S24">
        <v>115</v>
      </c>
      <c r="T24">
        <v>92</v>
      </c>
      <c r="U24">
        <v>131</v>
      </c>
      <c r="V24">
        <v>161</v>
      </c>
      <c r="W24">
        <v>363</v>
      </c>
    </row>
    <row r="25" spans="1:23">
      <c r="A25" s="1"/>
    </row>
    <row r="26" spans="1:23">
      <c r="A26" s="1" t="s">
        <v>24</v>
      </c>
      <c r="B26">
        <f>SUM(B2:B23)</f>
        <v>126</v>
      </c>
      <c r="C26">
        <f t="shared" ref="C26:W26" si="0">SUM(C2:C23)</f>
        <v>300</v>
      </c>
      <c r="D26">
        <f t="shared" si="0"/>
        <v>258</v>
      </c>
      <c r="E26">
        <f t="shared" si="0"/>
        <v>115</v>
      </c>
      <c r="F26">
        <f t="shared" si="0"/>
        <v>146</v>
      </c>
      <c r="G26">
        <f t="shared" si="0"/>
        <v>274</v>
      </c>
      <c r="H26">
        <f t="shared" si="0"/>
        <v>273</v>
      </c>
      <c r="I26">
        <f t="shared" si="0"/>
        <v>70</v>
      </c>
      <c r="J26">
        <f t="shared" si="0"/>
        <v>141</v>
      </c>
      <c r="K26">
        <f t="shared" si="0"/>
        <v>101</v>
      </c>
      <c r="L26">
        <f t="shared" si="0"/>
        <v>65</v>
      </c>
      <c r="M26">
        <f t="shared" si="0"/>
        <v>85</v>
      </c>
      <c r="N26">
        <f t="shared" si="0"/>
        <v>49</v>
      </c>
      <c r="O26">
        <f t="shared" si="0"/>
        <v>105</v>
      </c>
      <c r="P26">
        <f t="shared" si="0"/>
        <v>36</v>
      </c>
      <c r="Q26">
        <f t="shared" si="0"/>
        <v>213</v>
      </c>
      <c r="R26">
        <f t="shared" si="0"/>
        <v>81</v>
      </c>
      <c r="S26">
        <f t="shared" si="0"/>
        <v>115</v>
      </c>
      <c r="T26">
        <f t="shared" si="0"/>
        <v>92</v>
      </c>
      <c r="U26">
        <f t="shared" si="0"/>
        <v>131</v>
      </c>
      <c r="V26">
        <f t="shared" si="0"/>
        <v>161</v>
      </c>
      <c r="W26">
        <f t="shared" si="0"/>
        <v>363</v>
      </c>
    </row>
    <row r="28" spans="1:23">
      <c r="A28" t="s">
        <v>42</v>
      </c>
      <c r="B28">
        <f>B26-B24</f>
        <v>0</v>
      </c>
      <c r="C28">
        <f t="shared" ref="C28:W28" si="1">C26-C24</f>
        <v>0</v>
      </c>
      <c r="D28">
        <f t="shared" si="1"/>
        <v>0</v>
      </c>
      <c r="E28">
        <f t="shared" si="1"/>
        <v>0</v>
      </c>
      <c r="F28">
        <f t="shared" si="1"/>
        <v>0</v>
      </c>
      <c r="G28">
        <f t="shared" si="1"/>
        <v>0</v>
      </c>
      <c r="H28">
        <f t="shared" si="1"/>
        <v>0</v>
      </c>
      <c r="I28">
        <f t="shared" si="1"/>
        <v>0</v>
      </c>
      <c r="J28">
        <f t="shared" si="1"/>
        <v>0</v>
      </c>
      <c r="K28">
        <f t="shared" si="1"/>
        <v>0</v>
      </c>
      <c r="L28">
        <f t="shared" si="1"/>
        <v>0</v>
      </c>
      <c r="M28">
        <f t="shared" si="1"/>
        <v>0</v>
      </c>
      <c r="N28">
        <f t="shared" si="1"/>
        <v>0</v>
      </c>
      <c r="O28">
        <f t="shared" si="1"/>
        <v>0</v>
      </c>
      <c r="P28">
        <f t="shared" si="1"/>
        <v>0</v>
      </c>
      <c r="Q28">
        <f t="shared" si="1"/>
        <v>0</v>
      </c>
      <c r="R28">
        <f t="shared" si="1"/>
        <v>0</v>
      </c>
      <c r="S28">
        <f t="shared" si="1"/>
        <v>0</v>
      </c>
      <c r="T28">
        <f t="shared" si="1"/>
        <v>0</v>
      </c>
      <c r="U28">
        <f t="shared" si="1"/>
        <v>0</v>
      </c>
      <c r="V28">
        <f t="shared" si="1"/>
        <v>0</v>
      </c>
      <c r="W28">
        <f t="shared" si="1"/>
        <v>0</v>
      </c>
    </row>
    <row r="29" spans="1:23">
      <c r="V29" s="4"/>
    </row>
    <row r="33" spans="1:1">
      <c r="A33" t="s">
        <v>52</v>
      </c>
    </row>
  </sheetData>
  <sheetCalcPr fullCalcOnLoad="1"/>
  <phoneticPr fontId="3"/>
  <pageMargins left="0.75" right="0.75" top="1" bottom="1" header="0.5" footer="0.5"/>
  <pageSetup orientation="landscape" horizontalDpi="4294967292" verticalDpi="4294967292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Table 3.3</vt:lpstr>
      <vt:lpstr>Table 3.4</vt:lpstr>
      <vt:lpstr>Table 3.5</vt:lpstr>
      <vt:lpstr>Table 3.6</vt:lpstr>
      <vt:lpstr>Table 3.7</vt:lpstr>
      <vt:lpstr>Table 3.8</vt:lpstr>
      <vt:lpstr>Table 3.9</vt:lpstr>
      <vt:lpstr>Table 3.10</vt:lpstr>
      <vt:lpstr>Table 3.11</vt:lpstr>
      <vt:lpstr>Table 3.3</vt:lpstr>
      <vt:lpstr>Table 3.4</vt:lpstr>
      <vt:lpstr>Table 3.5</vt:lpstr>
      <vt:lpstr>Table 3.6</vt:lpstr>
      <vt:lpstr>Table 3.7</vt:lpstr>
      <vt:lpstr>Table 3.8</vt:lpstr>
      <vt:lpstr>Table 3.9</vt:lpstr>
      <vt:lpstr>Table 3.10</vt:lpstr>
      <vt:lpstr>Table 3.11</vt:lpstr>
    </vt:vector>
  </TitlesOfParts>
  <Company>Franklin &amp; Marshall College  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Anish Kurian</dc:creator>
  <cp:lastModifiedBy>Office 2008 Converter</cp:lastModifiedBy>
  <dcterms:created xsi:type="dcterms:W3CDTF">2011-07-07T21:07:09Z</dcterms:created>
  <dcterms:modified xsi:type="dcterms:W3CDTF">2011-07-11T00:31:40Z</dcterms:modified>
</cp:coreProperties>
</file>