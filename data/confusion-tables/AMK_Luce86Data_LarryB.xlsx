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Default Extension="vml" ContentType="application/vnd.openxmlformats-officedocument.vmlDrawing"/>
  <Override PartName="/xl/worksheets/sheet2.xml" ContentType="application/vnd.openxmlformats-officedocument.spreadsheetml.worksheet+xml"/>
  <Override PartName="/xl/calcChain.xml" ContentType="application/vnd.openxmlformats-officedocument.spreadsheetml.calcChain+xml"/>
  <Default Extension="rels" ContentType="application/vnd.openxmlformats-package.relationships+xml"/>
  <Default Extension="jpeg" ContentType="image/jpeg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60" yWindow="60" windowWidth="25000" windowHeight="17300" tabRatio="500"/>
  </bookViews>
  <sheets>
    <sheet name="Luce+5" sheetId="1" r:id="rId1"/>
    <sheet name="Sheet1" sheetId="2" r:id="rId2"/>
    <sheet name="Sheet2" sheetId="3" r:id="rId3"/>
    <sheet name="Sheet3" sheetId="4" r:id="rId4"/>
  </sheets>
  <calcPr calcId="110304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B2" i="1"/>
  <c r="E31"/>
  <c r="AB3"/>
  <c r="D32"/>
  <c r="D65"/>
  <c r="E32"/>
  <c r="E65"/>
  <c r="F32"/>
  <c r="AB4"/>
  <c r="E33"/>
  <c r="F65"/>
  <c r="G32"/>
  <c r="AB5"/>
  <c r="E34"/>
  <c r="G65"/>
  <c r="H32"/>
  <c r="AB6"/>
  <c r="E35"/>
  <c r="H65"/>
  <c r="I32"/>
  <c r="AB7"/>
  <c r="E36"/>
  <c r="I65"/>
  <c r="J32"/>
  <c r="AB8"/>
  <c r="E37"/>
  <c r="J65"/>
  <c r="K32"/>
  <c r="AB9"/>
  <c r="E38"/>
  <c r="K65"/>
  <c r="L32"/>
  <c r="AB10"/>
  <c r="E39"/>
  <c r="L65"/>
  <c r="M32"/>
  <c r="AB11"/>
  <c r="E40"/>
  <c r="M65"/>
  <c r="N32"/>
  <c r="AB12"/>
  <c r="E41"/>
  <c r="N65"/>
  <c r="O32"/>
  <c r="AB13"/>
  <c r="E42"/>
  <c r="O65"/>
  <c r="P32"/>
  <c r="AB14"/>
  <c r="E43"/>
  <c r="P65"/>
  <c r="Q32"/>
  <c r="AB15"/>
  <c r="E44"/>
  <c r="Q65"/>
  <c r="R32"/>
  <c r="AB16"/>
  <c r="E45"/>
  <c r="R65"/>
  <c r="S32"/>
  <c r="AB17"/>
  <c r="E46"/>
  <c r="S65"/>
  <c r="T32"/>
  <c r="AB18"/>
  <c r="E47"/>
  <c r="T65"/>
  <c r="U32"/>
  <c r="AB19"/>
  <c r="E48"/>
  <c r="U65"/>
  <c r="V32"/>
  <c r="AB20"/>
  <c r="E49"/>
  <c r="V65"/>
  <c r="W32"/>
  <c r="AB21"/>
  <c r="E50"/>
  <c r="W65"/>
  <c r="X32"/>
  <c r="AB22"/>
  <c r="E51"/>
  <c r="X65"/>
  <c r="Y32"/>
  <c r="AB23"/>
  <c r="E52"/>
  <c r="Y65"/>
  <c r="Z32"/>
  <c r="AB24"/>
  <c r="E53"/>
  <c r="Z65"/>
  <c r="F31"/>
  <c r="D33"/>
  <c r="D66"/>
  <c r="E66"/>
  <c r="F33"/>
  <c r="F66"/>
  <c r="G33"/>
  <c r="F34"/>
  <c r="G66"/>
  <c r="H33"/>
  <c r="F35"/>
  <c r="H66"/>
  <c r="I33"/>
  <c r="F36"/>
  <c r="I66"/>
  <c r="J33"/>
  <c r="F37"/>
  <c r="J66"/>
  <c r="K33"/>
  <c r="F38"/>
  <c r="K66"/>
  <c r="L33"/>
  <c r="F39"/>
  <c r="L66"/>
  <c r="M33"/>
  <c r="F40"/>
  <c r="M66"/>
  <c r="N33"/>
  <c r="F41"/>
  <c r="N66"/>
  <c r="O33"/>
  <c r="F42"/>
  <c r="O66"/>
  <c r="P33"/>
  <c r="F43"/>
  <c r="P66"/>
  <c r="Q33"/>
  <c r="F44"/>
  <c r="Q66"/>
  <c r="R33"/>
  <c r="F45"/>
  <c r="R66"/>
  <c r="S33"/>
  <c r="F46"/>
  <c r="S66"/>
  <c r="T33"/>
  <c r="F47"/>
  <c r="T66"/>
  <c r="U33"/>
  <c r="F48"/>
  <c r="U66"/>
  <c r="V33"/>
  <c r="F49"/>
  <c r="V66"/>
  <c r="W33"/>
  <c r="F50"/>
  <c r="W66"/>
  <c r="X33"/>
  <c r="F51"/>
  <c r="X66"/>
  <c r="Y33"/>
  <c r="F52"/>
  <c r="Y66"/>
  <c r="Z33"/>
  <c r="F53"/>
  <c r="Z66"/>
  <c r="G31"/>
  <c r="D34"/>
  <c r="D67"/>
  <c r="E67"/>
  <c r="F67"/>
  <c r="G34"/>
  <c r="G67"/>
  <c r="H34"/>
  <c r="G35"/>
  <c r="H67"/>
  <c r="I34"/>
  <c r="G36"/>
  <c r="I67"/>
  <c r="J34"/>
  <c r="G37"/>
  <c r="J67"/>
  <c r="K34"/>
  <c r="G38"/>
  <c r="K67"/>
  <c r="L34"/>
  <c r="G39"/>
  <c r="L67"/>
  <c r="M34"/>
  <c r="G40"/>
  <c r="M67"/>
  <c r="N34"/>
  <c r="G41"/>
  <c r="N67"/>
  <c r="O34"/>
  <c r="G42"/>
  <c r="O67"/>
  <c r="P34"/>
  <c r="G43"/>
  <c r="P67"/>
  <c r="Q34"/>
  <c r="G44"/>
  <c r="Q67"/>
  <c r="R34"/>
  <c r="G45"/>
  <c r="R67"/>
  <c r="S34"/>
  <c r="G46"/>
  <c r="S67"/>
  <c r="T34"/>
  <c r="G47"/>
  <c r="T67"/>
  <c r="U34"/>
  <c r="G48"/>
  <c r="U67"/>
  <c r="V34"/>
  <c r="G49"/>
  <c r="V67"/>
  <c r="W34"/>
  <c r="G50"/>
  <c r="W67"/>
  <c r="X34"/>
  <c r="G51"/>
  <c r="X67"/>
  <c r="Y34"/>
  <c r="G52"/>
  <c r="Y67"/>
  <c r="Z34"/>
  <c r="G53"/>
  <c r="Z67"/>
  <c r="H31"/>
  <c r="D35"/>
  <c r="D68"/>
  <c r="E68"/>
  <c r="F68"/>
  <c r="G68"/>
  <c r="H35"/>
  <c r="H68"/>
  <c r="I35"/>
  <c r="H36"/>
  <c r="I68"/>
  <c r="J35"/>
  <c r="H37"/>
  <c r="J68"/>
  <c r="K35"/>
  <c r="H38"/>
  <c r="K68"/>
  <c r="L35"/>
  <c r="H39"/>
  <c r="L68"/>
  <c r="M35"/>
  <c r="H40"/>
  <c r="M68"/>
  <c r="N35"/>
  <c r="H41"/>
  <c r="N68"/>
  <c r="O35"/>
  <c r="H42"/>
  <c r="O68"/>
  <c r="P35"/>
  <c r="H43"/>
  <c r="P68"/>
  <c r="Q35"/>
  <c r="H44"/>
  <c r="Q68"/>
  <c r="R35"/>
  <c r="H45"/>
  <c r="R68"/>
  <c r="S35"/>
  <c r="H46"/>
  <c r="S68"/>
  <c r="T35"/>
  <c r="H47"/>
  <c r="T68"/>
  <c r="U35"/>
  <c r="H48"/>
  <c r="U68"/>
  <c r="V35"/>
  <c r="H49"/>
  <c r="V68"/>
  <c r="W35"/>
  <c r="H50"/>
  <c r="W68"/>
  <c r="X35"/>
  <c r="H51"/>
  <c r="X68"/>
  <c r="Y35"/>
  <c r="H52"/>
  <c r="Y68"/>
  <c r="Z35"/>
  <c r="H53"/>
  <c r="Z68"/>
  <c r="I31"/>
  <c r="D36"/>
  <c r="D69"/>
  <c r="E69"/>
  <c r="F69"/>
  <c r="G69"/>
  <c r="H69"/>
  <c r="I36"/>
  <c r="I69"/>
  <c r="J36"/>
  <c r="I37"/>
  <c r="J69"/>
  <c r="K36"/>
  <c r="I38"/>
  <c r="K69"/>
  <c r="L36"/>
  <c r="I39"/>
  <c r="L69"/>
  <c r="M36"/>
  <c r="I40"/>
  <c r="M69"/>
  <c r="N36"/>
  <c r="I41"/>
  <c r="N69"/>
  <c r="O36"/>
  <c r="I42"/>
  <c r="O69"/>
  <c r="P36"/>
  <c r="I43"/>
  <c r="P69"/>
  <c r="Q36"/>
  <c r="I44"/>
  <c r="Q69"/>
  <c r="R36"/>
  <c r="I45"/>
  <c r="R69"/>
  <c r="S36"/>
  <c r="I46"/>
  <c r="S69"/>
  <c r="T36"/>
  <c r="I47"/>
  <c r="T69"/>
  <c r="U36"/>
  <c r="I48"/>
  <c r="U69"/>
  <c r="V36"/>
  <c r="I49"/>
  <c r="V69"/>
  <c r="W36"/>
  <c r="I50"/>
  <c r="W69"/>
  <c r="X36"/>
  <c r="I51"/>
  <c r="X69"/>
  <c r="Y36"/>
  <c r="I52"/>
  <c r="Y69"/>
  <c r="Z36"/>
  <c r="I53"/>
  <c r="Z69"/>
  <c r="J31"/>
  <c r="D37"/>
  <c r="D70"/>
  <c r="E70"/>
  <c r="F70"/>
  <c r="G70"/>
  <c r="H70"/>
  <c r="I70"/>
  <c r="J37"/>
  <c r="J70"/>
  <c r="K37"/>
  <c r="J38"/>
  <c r="K70"/>
  <c r="L37"/>
  <c r="J39"/>
  <c r="L70"/>
  <c r="M37"/>
  <c r="J40"/>
  <c r="M70"/>
  <c r="N37"/>
  <c r="J41"/>
  <c r="N70"/>
  <c r="O37"/>
  <c r="J42"/>
  <c r="O70"/>
  <c r="P37"/>
  <c r="J43"/>
  <c r="P70"/>
  <c r="Q37"/>
  <c r="J44"/>
  <c r="Q70"/>
  <c r="R37"/>
  <c r="J45"/>
  <c r="R70"/>
  <c r="S37"/>
  <c r="J46"/>
  <c r="S70"/>
  <c r="T37"/>
  <c r="J47"/>
  <c r="T70"/>
  <c r="U37"/>
  <c r="J48"/>
  <c r="U70"/>
  <c r="V37"/>
  <c r="J49"/>
  <c r="V70"/>
  <c r="W37"/>
  <c r="J50"/>
  <c r="W70"/>
  <c r="X37"/>
  <c r="J51"/>
  <c r="X70"/>
  <c r="Y37"/>
  <c r="J52"/>
  <c r="Y70"/>
  <c r="Z37"/>
  <c r="J53"/>
  <c r="Z70"/>
  <c r="K31"/>
  <c r="D38"/>
  <c r="D71"/>
  <c r="E71"/>
  <c r="F71"/>
  <c r="G71"/>
  <c r="H71"/>
  <c r="I71"/>
  <c r="J71"/>
  <c r="K38"/>
  <c r="K71"/>
  <c r="L38"/>
  <c r="K39"/>
  <c r="L71"/>
  <c r="M38"/>
  <c r="K40"/>
  <c r="M71"/>
  <c r="N38"/>
  <c r="K41"/>
  <c r="N71"/>
  <c r="O38"/>
  <c r="K42"/>
  <c r="O71"/>
  <c r="P38"/>
  <c r="K43"/>
  <c r="P71"/>
  <c r="Q38"/>
  <c r="K44"/>
  <c r="Q71"/>
  <c r="R38"/>
  <c r="K45"/>
  <c r="R71"/>
  <c r="S38"/>
  <c r="K46"/>
  <c r="S71"/>
  <c r="T38"/>
  <c r="K47"/>
  <c r="T71"/>
  <c r="U38"/>
  <c r="K48"/>
  <c r="U71"/>
  <c r="V38"/>
  <c r="K49"/>
  <c r="V71"/>
  <c r="W38"/>
  <c r="K50"/>
  <c r="W71"/>
  <c r="X38"/>
  <c r="K51"/>
  <c r="X71"/>
  <c r="Y38"/>
  <c r="K52"/>
  <c r="Y71"/>
  <c r="Z38"/>
  <c r="K53"/>
  <c r="Z71"/>
  <c r="L31"/>
  <c r="D39"/>
  <c r="D72"/>
  <c r="E72"/>
  <c r="F72"/>
  <c r="G72"/>
  <c r="H72"/>
  <c r="I72"/>
  <c r="J72"/>
  <c r="K72"/>
  <c r="L39"/>
  <c r="L72"/>
  <c r="M39"/>
  <c r="L40"/>
  <c r="M72"/>
  <c r="N39"/>
  <c r="L41"/>
  <c r="N72"/>
  <c r="O39"/>
  <c r="L42"/>
  <c r="O72"/>
  <c r="P39"/>
  <c r="L43"/>
  <c r="P72"/>
  <c r="Q39"/>
  <c r="L44"/>
  <c r="Q72"/>
  <c r="R39"/>
  <c r="L45"/>
  <c r="R72"/>
  <c r="S39"/>
  <c r="L46"/>
  <c r="S72"/>
  <c r="T39"/>
  <c r="L47"/>
  <c r="T72"/>
  <c r="U39"/>
  <c r="L48"/>
  <c r="U72"/>
  <c r="V39"/>
  <c r="L49"/>
  <c r="V72"/>
  <c r="W39"/>
  <c r="L50"/>
  <c r="W72"/>
  <c r="X39"/>
  <c r="L51"/>
  <c r="X72"/>
  <c r="Y39"/>
  <c r="L52"/>
  <c r="Y72"/>
  <c r="Z39"/>
  <c r="L53"/>
  <c r="Z72"/>
  <c r="M31"/>
  <c r="D40"/>
  <c r="D73"/>
  <c r="E73"/>
  <c r="F73"/>
  <c r="G73"/>
  <c r="H73"/>
  <c r="I73"/>
  <c r="J73"/>
  <c r="K73"/>
  <c r="L73"/>
  <c r="M40"/>
  <c r="M73"/>
  <c r="N40"/>
  <c r="M41"/>
  <c r="N73"/>
  <c r="O40"/>
  <c r="M42"/>
  <c r="O73"/>
  <c r="P40"/>
  <c r="M43"/>
  <c r="P73"/>
  <c r="Q40"/>
  <c r="M44"/>
  <c r="Q73"/>
  <c r="R40"/>
  <c r="M45"/>
  <c r="R73"/>
  <c r="S40"/>
  <c r="M46"/>
  <c r="S73"/>
  <c r="T40"/>
  <c r="M47"/>
  <c r="T73"/>
  <c r="U40"/>
  <c r="M48"/>
  <c r="U73"/>
  <c r="V40"/>
  <c r="M49"/>
  <c r="V73"/>
  <c r="W40"/>
  <c r="M50"/>
  <c r="W73"/>
  <c r="X40"/>
  <c r="M51"/>
  <c r="X73"/>
  <c r="Y40"/>
  <c r="M52"/>
  <c r="Y73"/>
  <c r="Z40"/>
  <c r="M53"/>
  <c r="Z73"/>
  <c r="N31"/>
  <c r="D41"/>
  <c r="D74"/>
  <c r="E74"/>
  <c r="F74"/>
  <c r="G74"/>
  <c r="H74"/>
  <c r="I74"/>
  <c r="J74"/>
  <c r="K74"/>
  <c r="L74"/>
  <c r="M74"/>
  <c r="N41"/>
  <c r="N74"/>
  <c r="O41"/>
  <c r="N42"/>
  <c r="O74"/>
  <c r="P41"/>
  <c r="N43"/>
  <c r="P74"/>
  <c r="Q41"/>
  <c r="N44"/>
  <c r="Q74"/>
  <c r="R41"/>
  <c r="N45"/>
  <c r="R74"/>
  <c r="S41"/>
  <c r="N46"/>
  <c r="S74"/>
  <c r="T41"/>
  <c r="N47"/>
  <c r="T74"/>
  <c r="U41"/>
  <c r="N48"/>
  <c r="U74"/>
  <c r="V41"/>
  <c r="N49"/>
  <c r="V74"/>
  <c r="W41"/>
  <c r="N50"/>
  <c r="W74"/>
  <c r="X41"/>
  <c r="N51"/>
  <c r="X74"/>
  <c r="Y41"/>
  <c r="N52"/>
  <c r="Y74"/>
  <c r="Z41"/>
  <c r="N53"/>
  <c r="Z74"/>
  <c r="O31"/>
  <c r="D42"/>
  <c r="D75"/>
  <c r="E75"/>
  <c r="F75"/>
  <c r="G75"/>
  <c r="H75"/>
  <c r="I75"/>
  <c r="J75"/>
  <c r="K75"/>
  <c r="L75"/>
  <c r="M75"/>
  <c r="N75"/>
  <c r="O42"/>
  <c r="O75"/>
  <c r="P42"/>
  <c r="O43"/>
  <c r="P75"/>
  <c r="Q42"/>
  <c r="O44"/>
  <c r="Q75"/>
  <c r="R42"/>
  <c r="O45"/>
  <c r="R75"/>
  <c r="S42"/>
  <c r="O46"/>
  <c r="S75"/>
  <c r="T42"/>
  <c r="O47"/>
  <c r="T75"/>
  <c r="U42"/>
  <c r="O48"/>
  <c r="U75"/>
  <c r="V42"/>
  <c r="O49"/>
  <c r="V75"/>
  <c r="W42"/>
  <c r="O50"/>
  <c r="W75"/>
  <c r="X42"/>
  <c r="O51"/>
  <c r="X75"/>
  <c r="Y42"/>
  <c r="O52"/>
  <c r="Y75"/>
  <c r="Z42"/>
  <c r="O53"/>
  <c r="Z75"/>
  <c r="P31"/>
  <c r="D43"/>
  <c r="D76"/>
  <c r="E76"/>
  <c r="F76"/>
  <c r="G76"/>
  <c r="H76"/>
  <c r="I76"/>
  <c r="J76"/>
  <c r="K76"/>
  <c r="L76"/>
  <c r="M76"/>
  <c r="N76"/>
  <c r="O76"/>
  <c r="P43"/>
  <c r="P76"/>
  <c r="Q43"/>
  <c r="P44"/>
  <c r="Q76"/>
  <c r="R43"/>
  <c r="P45"/>
  <c r="R76"/>
  <c r="S43"/>
  <c r="P46"/>
  <c r="S76"/>
  <c r="T43"/>
  <c r="P47"/>
  <c r="T76"/>
  <c r="U43"/>
  <c r="P48"/>
  <c r="U76"/>
  <c r="V43"/>
  <c r="P49"/>
  <c r="V76"/>
  <c r="W43"/>
  <c r="P50"/>
  <c r="W76"/>
  <c r="X43"/>
  <c r="P51"/>
  <c r="X76"/>
  <c r="Y43"/>
  <c r="P52"/>
  <c r="Y76"/>
  <c r="Z43"/>
  <c r="P53"/>
  <c r="Z76"/>
  <c r="Q31"/>
  <c r="D44"/>
  <c r="D77"/>
  <c r="E77"/>
  <c r="F77"/>
  <c r="G77"/>
  <c r="H77"/>
  <c r="I77"/>
  <c r="J77"/>
  <c r="K77"/>
  <c r="L77"/>
  <c r="M77"/>
  <c r="N77"/>
  <c r="O77"/>
  <c r="P77"/>
  <c r="Q44"/>
  <c r="Q77"/>
  <c r="R44"/>
  <c r="Q45"/>
  <c r="R77"/>
  <c r="S44"/>
  <c r="Q46"/>
  <c r="S77"/>
  <c r="T44"/>
  <c r="Q47"/>
  <c r="T77"/>
  <c r="U44"/>
  <c r="Q48"/>
  <c r="U77"/>
  <c r="V44"/>
  <c r="Q49"/>
  <c r="V77"/>
  <c r="W44"/>
  <c r="Q50"/>
  <c r="W77"/>
  <c r="X44"/>
  <c r="Q51"/>
  <c r="X77"/>
  <c r="Y44"/>
  <c r="Q52"/>
  <c r="Y77"/>
  <c r="Z44"/>
  <c r="Q53"/>
  <c r="Z77"/>
  <c r="R31"/>
  <c r="D45"/>
  <c r="D78"/>
  <c r="E78"/>
  <c r="F78"/>
  <c r="G78"/>
  <c r="H78"/>
  <c r="I78"/>
  <c r="J78"/>
  <c r="K78"/>
  <c r="L78"/>
  <c r="M78"/>
  <c r="N78"/>
  <c r="O78"/>
  <c r="P78"/>
  <c r="Q78"/>
  <c r="R45"/>
  <c r="R78"/>
  <c r="S45"/>
  <c r="R46"/>
  <c r="S78"/>
  <c r="T45"/>
  <c r="R47"/>
  <c r="T78"/>
  <c r="U45"/>
  <c r="R48"/>
  <c r="U78"/>
  <c r="V45"/>
  <c r="R49"/>
  <c r="V78"/>
  <c r="W45"/>
  <c r="R50"/>
  <c r="W78"/>
  <c r="X45"/>
  <c r="R51"/>
  <c r="X78"/>
  <c r="Y45"/>
  <c r="R52"/>
  <c r="Y78"/>
  <c r="Z45"/>
  <c r="R53"/>
  <c r="Z78"/>
  <c r="S31"/>
  <c r="D46"/>
  <c r="D79"/>
  <c r="E79"/>
  <c r="F79"/>
  <c r="G79"/>
  <c r="H79"/>
  <c r="I79"/>
  <c r="J79"/>
  <c r="K79"/>
  <c r="L79"/>
  <c r="M79"/>
  <c r="N79"/>
  <c r="O79"/>
  <c r="P79"/>
  <c r="Q79"/>
  <c r="R79"/>
  <c r="S46"/>
  <c r="S79"/>
  <c r="T46"/>
  <c r="S47"/>
  <c r="T79"/>
  <c r="U46"/>
  <c r="S48"/>
  <c r="U79"/>
  <c r="V46"/>
  <c r="S49"/>
  <c r="V79"/>
  <c r="W46"/>
  <c r="S50"/>
  <c r="W79"/>
  <c r="X46"/>
  <c r="S51"/>
  <c r="X79"/>
  <c r="Y46"/>
  <c r="S52"/>
  <c r="Y79"/>
  <c r="Z46"/>
  <c r="S53"/>
  <c r="Z79"/>
  <c r="T31"/>
  <c r="D47"/>
  <c r="D80"/>
  <c r="E80"/>
  <c r="F80"/>
  <c r="G80"/>
  <c r="H80"/>
  <c r="I80"/>
  <c r="J80"/>
  <c r="K80"/>
  <c r="L80"/>
  <c r="M80"/>
  <c r="N80"/>
  <c r="O80"/>
  <c r="P80"/>
  <c r="Q80"/>
  <c r="R80"/>
  <c r="S80"/>
  <c r="T47"/>
  <c r="T80"/>
  <c r="U47"/>
  <c r="T48"/>
  <c r="U80"/>
  <c r="V47"/>
  <c r="T49"/>
  <c r="V80"/>
  <c r="W47"/>
  <c r="T50"/>
  <c r="W80"/>
  <c r="X47"/>
  <c r="T51"/>
  <c r="X80"/>
  <c r="Y47"/>
  <c r="T52"/>
  <c r="Y80"/>
  <c r="Z47"/>
  <c r="T53"/>
  <c r="Z80"/>
  <c r="U31"/>
  <c r="D48"/>
  <c r="D81"/>
  <c r="E81"/>
  <c r="F81"/>
  <c r="G81"/>
  <c r="H81"/>
  <c r="I81"/>
  <c r="J81"/>
  <c r="K81"/>
  <c r="L81"/>
  <c r="M81"/>
  <c r="N81"/>
  <c r="O81"/>
  <c r="P81"/>
  <c r="Q81"/>
  <c r="R81"/>
  <c r="S81"/>
  <c r="T81"/>
  <c r="U48"/>
  <c r="U81"/>
  <c r="V48"/>
  <c r="U49"/>
  <c r="V81"/>
  <c r="W48"/>
  <c r="U50"/>
  <c r="W81"/>
  <c r="X48"/>
  <c r="U51"/>
  <c r="X81"/>
  <c r="Y48"/>
  <c r="U52"/>
  <c r="Y81"/>
  <c r="Z48"/>
  <c r="U53"/>
  <c r="Z81"/>
  <c r="V31"/>
  <c r="D49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49"/>
  <c r="V82"/>
  <c r="W49"/>
  <c r="V50"/>
  <c r="W82"/>
  <c r="X49"/>
  <c r="V51"/>
  <c r="X82"/>
  <c r="Y49"/>
  <c r="V52"/>
  <c r="Y82"/>
  <c r="Z49"/>
  <c r="V53"/>
  <c r="Z82"/>
  <c r="W31"/>
  <c r="D50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50"/>
  <c r="W83"/>
  <c r="X50"/>
  <c r="W51"/>
  <c r="X83"/>
  <c r="Y50"/>
  <c r="W52"/>
  <c r="Y83"/>
  <c r="Z50"/>
  <c r="W53"/>
  <c r="Z83"/>
  <c r="X31"/>
  <c r="D51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51"/>
  <c r="X84"/>
  <c r="Y51"/>
  <c r="X52"/>
  <c r="Y84"/>
  <c r="Z51"/>
  <c r="X53"/>
  <c r="Z84"/>
  <c r="Y31"/>
  <c r="D52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52"/>
  <c r="Y85"/>
  <c r="Z52"/>
  <c r="Y53"/>
  <c r="Z85"/>
  <c r="Z31"/>
  <c r="D53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53"/>
  <c r="Z86"/>
  <c r="D31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31"/>
  <c r="Y102"/>
  <c r="J98"/>
  <c r="M98"/>
  <c r="L98"/>
  <c r="K101"/>
  <c r="R101"/>
  <c r="T114"/>
  <c r="R110"/>
  <c r="N110"/>
  <c r="O97"/>
  <c r="E97"/>
  <c r="F97"/>
  <c r="F98"/>
  <c r="G101"/>
  <c r="G102"/>
  <c r="H102"/>
  <c r="L108"/>
  <c r="M108"/>
  <c r="P108"/>
  <c r="Q100"/>
  <c r="N101"/>
  <c r="O108"/>
  <c r="N108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Z114"/>
  <c r="Y114"/>
  <c r="X114"/>
  <c r="W114"/>
  <c r="V114"/>
  <c r="U114"/>
  <c r="S114"/>
  <c r="R114"/>
  <c r="Q114"/>
  <c r="P114"/>
  <c r="O114"/>
  <c r="N114"/>
  <c r="M114"/>
  <c r="L114"/>
  <c r="K114"/>
  <c r="J114"/>
  <c r="I114"/>
  <c r="H114"/>
  <c r="G114"/>
  <c r="F114"/>
  <c r="E114"/>
  <c r="D114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Z110"/>
  <c r="Y110"/>
  <c r="X110"/>
  <c r="W110"/>
  <c r="V110"/>
  <c r="U110"/>
  <c r="T110"/>
  <c r="S110"/>
  <c r="Q110"/>
  <c r="P110"/>
  <c r="O110"/>
  <c r="M110"/>
  <c r="L110"/>
  <c r="K110"/>
  <c r="J110"/>
  <c r="I110"/>
  <c r="H110"/>
  <c r="G110"/>
  <c r="F110"/>
  <c r="E110"/>
  <c r="D110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Z108"/>
  <c r="Y108"/>
  <c r="X108"/>
  <c r="W108"/>
  <c r="V108"/>
  <c r="U108"/>
  <c r="T108"/>
  <c r="S108"/>
  <c r="R108"/>
  <c r="Q108"/>
  <c r="K108"/>
  <c r="J108"/>
  <c r="I108"/>
  <c r="H108"/>
  <c r="G108"/>
  <c r="F108"/>
  <c r="E108"/>
  <c r="D108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Z102"/>
  <c r="X102"/>
  <c r="W102"/>
  <c r="V102"/>
  <c r="U102"/>
  <c r="T102"/>
  <c r="S102"/>
  <c r="R102"/>
  <c r="Q102"/>
  <c r="P102"/>
  <c r="O102"/>
  <c r="N102"/>
  <c r="M102"/>
  <c r="L102"/>
  <c r="K102"/>
  <c r="J102"/>
  <c r="I102"/>
  <c r="F102"/>
  <c r="E102"/>
  <c r="D102"/>
  <c r="Z101"/>
  <c r="Y101"/>
  <c r="X101"/>
  <c r="W101"/>
  <c r="V101"/>
  <c r="U101"/>
  <c r="T101"/>
  <c r="S101"/>
  <c r="Q101"/>
  <c r="P101"/>
  <c r="O101"/>
  <c r="M101"/>
  <c r="L101"/>
  <c r="J101"/>
  <c r="I101"/>
  <c r="H101"/>
  <c r="F101"/>
  <c r="E101"/>
  <c r="D101"/>
  <c r="Z100"/>
  <c r="Y100"/>
  <c r="X100"/>
  <c r="W100"/>
  <c r="V100"/>
  <c r="U100"/>
  <c r="T100"/>
  <c r="S100"/>
  <c r="R100"/>
  <c r="P100"/>
  <c r="O100"/>
  <c r="N100"/>
  <c r="M100"/>
  <c r="L100"/>
  <c r="K100"/>
  <c r="J100"/>
  <c r="I100"/>
  <c r="H100"/>
  <c r="G100"/>
  <c r="F100"/>
  <c r="E100"/>
  <c r="D100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Z98"/>
  <c r="Y98"/>
  <c r="X98"/>
  <c r="W98"/>
  <c r="V98"/>
  <c r="U98"/>
  <c r="T98"/>
  <c r="S98"/>
  <c r="R98"/>
  <c r="Q98"/>
  <c r="P98"/>
  <c r="O98"/>
  <c r="N98"/>
  <c r="K98"/>
  <c r="I98"/>
  <c r="H98"/>
  <c r="G98"/>
  <c r="E98"/>
  <c r="D98"/>
  <c r="Z97"/>
  <c r="Y97"/>
  <c r="X97"/>
  <c r="W97"/>
  <c r="V97"/>
  <c r="U97"/>
  <c r="T97"/>
  <c r="S97"/>
  <c r="R97"/>
  <c r="Q97"/>
  <c r="P97"/>
  <c r="N97"/>
  <c r="M97"/>
  <c r="L97"/>
  <c r="K97"/>
  <c r="J97"/>
  <c r="I97"/>
  <c r="H97"/>
  <c r="G97"/>
  <c r="D97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D26"/>
  <c r="E2" i="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1"/>
  <c r="C92"/>
  <c r="C91"/>
  <c r="C90"/>
  <c r="C89"/>
  <c r="C82"/>
  <c r="C83"/>
  <c r="C84"/>
  <c r="C85"/>
  <c r="C86"/>
  <c r="C87"/>
  <c r="C88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67"/>
  <c r="C68"/>
  <c r="C69"/>
  <c r="C70"/>
  <c r="C71"/>
  <c r="C72"/>
  <c r="C73"/>
  <c r="C74"/>
  <c r="C75"/>
  <c r="C76"/>
  <c r="C77"/>
  <c r="C78"/>
  <c r="C79"/>
  <c r="C80"/>
  <c r="C81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3"/>
  <c r="C44"/>
  <c r="C1"/>
  <c r="H2" i="3"/>
</calcChain>
</file>

<file path=xl/comments1.xml><?xml version="1.0" encoding="utf-8"?>
<comments xmlns="http://schemas.openxmlformats.org/spreadsheetml/2006/main">
  <authors>
    <author>Larry Brancazio</author>
  </authors>
  <commentList>
    <comment ref="Q16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changed from 36 to 136:  had 170 for row total and 113 for column tota</t>
        </r>
      </text>
    </comment>
    <comment ref="D60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column numbers where percent responses are found  (4 = D, 5=E, etc)</t>
        </r>
      </text>
    </comment>
    <comment ref="D61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row numbers where percent responses are found</t>
        </r>
      </text>
    </comment>
    <comment ref="A64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Values are paste-transposed from values above table</t>
        </r>
      </text>
    </comment>
    <comment ref="D93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column numbers where percent responses are found  (4 = D, 5=E, etc)</t>
        </r>
      </text>
    </comment>
    <comment ref="D94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row numbers where percent responses are found</t>
        </r>
      </text>
    </comment>
    <comment ref="A97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Paste transposed from above</t>
        </r>
      </text>
    </comment>
  </commentList>
</comments>
</file>

<file path=xl/sharedStrings.xml><?xml version="1.0" encoding="utf-8"?>
<sst xmlns="http://schemas.openxmlformats.org/spreadsheetml/2006/main" count="1252" uniqueCount="67">
  <si>
    <t>p</t>
  </si>
  <si>
    <t>t</t>
  </si>
  <si>
    <t>k</t>
  </si>
  <si>
    <t>b</t>
  </si>
  <si>
    <t>d</t>
  </si>
  <si>
    <t>g</t>
  </si>
  <si>
    <t>C</t>
  </si>
  <si>
    <t>J</t>
  </si>
  <si>
    <t>s</t>
  </si>
  <si>
    <t>S</t>
  </si>
  <si>
    <t>z</t>
  </si>
  <si>
    <t>f</t>
  </si>
  <si>
    <t>T</t>
  </si>
  <si>
    <t>v</t>
  </si>
  <si>
    <t>D</t>
  </si>
  <si>
    <t>h</t>
  </si>
  <si>
    <t>n</t>
  </si>
  <si>
    <t>m</t>
  </si>
  <si>
    <t>l</t>
  </si>
  <si>
    <t>r</t>
  </si>
  <si>
    <t>w</t>
  </si>
  <si>
    <t>y</t>
  </si>
  <si>
    <t>none</t>
  </si>
  <si>
    <t>+5</t>
  </si>
  <si>
    <t>Sum</t>
  </si>
  <si>
    <r>
      <rPr>
        <b/>
        <sz val="12"/>
        <color indexed="8"/>
        <rFont val="Calibri"/>
        <family val="2"/>
      </rPr>
      <t>Averages</t>
    </r>
    <r>
      <rPr>
        <sz val="12"/>
        <color indexed="8"/>
        <rFont val="Calibri"/>
        <family val="2"/>
      </rPr>
      <t xml:space="preserve"> of reciprocal confusions (e.g., mean of  p(/t/ | /k/) and p(/k/ | /p/) )</t>
    </r>
  </si>
  <si>
    <r>
      <rPr>
        <b/>
        <sz val="12"/>
        <color indexed="8"/>
        <rFont val="Calibri"/>
        <family val="2"/>
      </rPr>
      <t>Maximum</t>
    </r>
    <r>
      <rPr>
        <sz val="12"/>
        <color indexed="8"/>
        <rFont val="Calibri"/>
        <family val="2"/>
      </rPr>
      <t xml:space="preserve"> of reciprocal confusions (e.g., larger of  p(/t/ | /k/) and p(/k/ | /p/) )</t>
    </r>
  </si>
  <si>
    <t>Converted to % of total responses</t>
  </si>
  <si>
    <t>Our critical phoneme pairs:</t>
  </si>
  <si>
    <t>f-v  (f-v) f: th(T), s, S; v: th(D), z, Z(3)</t>
  </si>
  <si>
    <t>s-z  (s-z) s:t f T h S; z:d,r,l</t>
  </si>
  <si>
    <t>p-b  (p-b) p:t k;  b: d g m</t>
  </si>
  <si>
    <t xml:space="preserve">t-d  (t-d) t:p k s;d: b g n z r l  </t>
  </si>
  <si>
    <t xml:space="preserve">k-g  (k-g) k:p t; g: b d </t>
  </si>
  <si>
    <t>m-n (m-n-G) m: b; n: d z r l</t>
  </si>
  <si>
    <t>p-t (p-t): p:k, b; t:s, d</t>
  </si>
  <si>
    <t>p-k (p-k): p:t, b; k:g</t>
  </si>
  <si>
    <t>t-k (t-k): t:s, d, p; k:g, p</t>
  </si>
  <si>
    <t>b-d (b-d): b:p, m, g; d:t, n, z, r, l, g</t>
  </si>
  <si>
    <t xml:space="preserve">b-g (b-g): b:p, m, d; g:k, d, </t>
  </si>
  <si>
    <t>d-g (d-g): d:t, b, n, z, r, l; g:k, b</t>
  </si>
  <si>
    <t>th-th (T-D): T:f, s, S, h; D"v, z, Z(3)</t>
  </si>
  <si>
    <t>s-sh  (s-S): s:f,T,t, h; S:f,T, h</t>
  </si>
  <si>
    <t>z-v   (z-v): z:D,S,d,n,r,l; v:D,Z(3),f</t>
  </si>
  <si>
    <t>b-m   (b-m): b:p,d,g; m:n</t>
  </si>
  <si>
    <t>s-f   (s-f): s:z,t,T,h,S; f:v,T,S,h</t>
  </si>
  <si>
    <t>r-l (r-l): r:w,j,z,n,d; l:z,n,d,</t>
  </si>
  <si>
    <t>r-w (r-w): r:l,z,n,d,j; w:j,g</t>
  </si>
  <si>
    <t>l-w (l-w): l:r,z,n,d; w:g,j,r</t>
  </si>
  <si>
    <t>Concerns:</t>
  </si>
  <si>
    <t>1) Only covers the +5 S/N table from Luce (table 3.4)</t>
  </si>
  <si>
    <t>2) Only looks at initital consonants</t>
  </si>
  <si>
    <t>3) There are also tables for final consonants</t>
  </si>
  <si>
    <t>should we avergae the two?</t>
  </si>
  <si>
    <t>aminal</t>
  </si>
  <si>
    <t>animal</t>
  </si>
  <si>
    <t>abizal</t>
  </si>
  <si>
    <t>tp</t>
  </si>
  <si>
    <t>rp</t>
  </si>
  <si>
    <t>p1</t>
  </si>
  <si>
    <t>p2</t>
  </si>
  <si>
    <t>r1</t>
  </si>
  <si>
    <t>r2</t>
  </si>
  <si>
    <t>p1-p2</t>
  </si>
  <si>
    <t>p1-r1</t>
  </si>
  <si>
    <t>p2-r2</t>
  </si>
  <si>
    <t>nm</t>
  </si>
</sst>
</file>

<file path=xl/styles.xml><?xml version="1.0" encoding="utf-8"?>
<styleSheet xmlns="http://schemas.openxmlformats.org/spreadsheetml/2006/main">
  <fonts count="5"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0" borderId="0" xfId="0" applyNumberFormat="1" applyFill="1"/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H128"/>
  <sheetViews>
    <sheetView tabSelected="1" topLeftCell="A21" workbookViewId="0">
      <selection activeCell="C30" sqref="C30:AB53"/>
    </sheetView>
  </sheetViews>
  <sheetFormatPr baseColWidth="10" defaultColWidth="11" defaultRowHeight="15"/>
  <cols>
    <col min="1" max="1" width="7.5" customWidth="1"/>
    <col min="2" max="2" width="6.5" customWidth="1"/>
    <col min="3" max="3" width="4.5" customWidth="1"/>
    <col min="4" max="4" width="5.83203125" customWidth="1"/>
    <col min="5" max="26" width="4.5" customWidth="1"/>
    <col min="27" max="27" width="5.33203125" customWidth="1"/>
    <col min="28" max="28" width="4.6640625" customWidth="1"/>
    <col min="29" max="29" width="5.83203125" customWidth="1"/>
    <col min="30" max="31" width="6" customWidth="1"/>
    <col min="32" max="32" width="11.1640625" customWidth="1"/>
    <col min="33" max="33" width="11.5" customWidth="1"/>
    <col min="34" max="34" width="9.6640625" customWidth="1"/>
  </cols>
  <sheetData>
    <row r="1" spans="3:34">
      <c r="C1" s="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B1" t="s">
        <v>24</v>
      </c>
    </row>
    <row r="2" spans="3:34">
      <c r="C2" t="s">
        <v>0</v>
      </c>
      <c r="D2">
        <v>40</v>
      </c>
      <c r="E2">
        <v>55</v>
      </c>
      <c r="F2">
        <v>30</v>
      </c>
      <c r="G2">
        <v>2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5</v>
      </c>
      <c r="P2">
        <v>1</v>
      </c>
      <c r="Q2">
        <v>3</v>
      </c>
      <c r="R2">
        <v>0</v>
      </c>
      <c r="S2">
        <v>5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6</v>
      </c>
      <c r="AB2">
        <f>SUM(D2:Z2)</f>
        <v>150</v>
      </c>
    </row>
    <row r="3" spans="3:34">
      <c r="C3" t="s">
        <v>1</v>
      </c>
      <c r="D3">
        <v>4</v>
      </c>
      <c r="E3">
        <v>103</v>
      </c>
      <c r="F3">
        <v>24</v>
      </c>
      <c r="G3">
        <v>0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2</v>
      </c>
      <c r="S3">
        <v>1</v>
      </c>
      <c r="T3">
        <v>0</v>
      </c>
      <c r="U3">
        <v>1</v>
      </c>
      <c r="V3">
        <v>0</v>
      </c>
      <c r="W3">
        <v>3</v>
      </c>
      <c r="X3">
        <v>0</v>
      </c>
      <c r="Y3">
        <v>0</v>
      </c>
      <c r="Z3">
        <v>4</v>
      </c>
      <c r="AB3">
        <f t="shared" ref="AB3:AB24" si="0">SUM(D3:Z3)</f>
        <v>150</v>
      </c>
    </row>
    <row r="4" spans="3:34">
      <c r="C4" t="s">
        <v>2</v>
      </c>
      <c r="D4">
        <v>12</v>
      </c>
      <c r="E4">
        <v>20</v>
      </c>
      <c r="F4">
        <v>102</v>
      </c>
      <c r="G4">
        <v>4</v>
      </c>
      <c r="H4">
        <v>1</v>
      </c>
      <c r="I4">
        <v>0</v>
      </c>
      <c r="J4">
        <v>4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3</v>
      </c>
      <c r="AB4">
        <f t="shared" si="0"/>
        <v>150</v>
      </c>
    </row>
    <row r="5" spans="3:34">
      <c r="C5" t="s">
        <v>3</v>
      </c>
      <c r="D5">
        <v>9</v>
      </c>
      <c r="E5">
        <v>6</v>
      </c>
      <c r="F5">
        <v>7</v>
      </c>
      <c r="G5">
        <v>39</v>
      </c>
      <c r="H5">
        <v>30</v>
      </c>
      <c r="I5">
        <v>10</v>
      </c>
      <c r="J5">
        <v>1</v>
      </c>
      <c r="K5">
        <v>1</v>
      </c>
      <c r="L5">
        <v>2</v>
      </c>
      <c r="M5">
        <v>0</v>
      </c>
      <c r="N5">
        <v>0</v>
      </c>
      <c r="O5">
        <v>11</v>
      </c>
      <c r="P5">
        <v>3</v>
      </c>
      <c r="Q5">
        <v>9</v>
      </c>
      <c r="R5">
        <v>12</v>
      </c>
      <c r="S5">
        <v>0</v>
      </c>
      <c r="T5">
        <v>0</v>
      </c>
      <c r="U5">
        <v>0</v>
      </c>
      <c r="V5">
        <v>3</v>
      </c>
      <c r="W5">
        <v>1</v>
      </c>
      <c r="X5">
        <v>1</v>
      </c>
      <c r="Y5">
        <v>1</v>
      </c>
      <c r="Z5">
        <v>4</v>
      </c>
      <c r="AB5">
        <f t="shared" si="0"/>
        <v>150</v>
      </c>
    </row>
    <row r="6" spans="3:34">
      <c r="C6" t="s">
        <v>4</v>
      </c>
      <c r="D6">
        <v>1</v>
      </c>
      <c r="E6">
        <v>6</v>
      </c>
      <c r="F6">
        <v>0</v>
      </c>
      <c r="G6">
        <v>4</v>
      </c>
      <c r="H6">
        <v>114</v>
      </c>
      <c r="I6">
        <v>5</v>
      </c>
      <c r="J6">
        <v>2</v>
      </c>
      <c r="K6">
        <v>3</v>
      </c>
      <c r="L6">
        <v>3</v>
      </c>
      <c r="M6">
        <v>0</v>
      </c>
      <c r="N6">
        <v>1</v>
      </c>
      <c r="O6">
        <v>1</v>
      </c>
      <c r="P6">
        <v>5</v>
      </c>
      <c r="Q6">
        <v>0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B6">
        <f t="shared" si="0"/>
        <v>150</v>
      </c>
    </row>
    <row r="7" spans="3:34">
      <c r="C7" t="s">
        <v>5</v>
      </c>
      <c r="D7">
        <v>1</v>
      </c>
      <c r="E7">
        <v>0</v>
      </c>
      <c r="F7">
        <v>1</v>
      </c>
      <c r="G7">
        <v>7</v>
      </c>
      <c r="H7">
        <v>21</v>
      </c>
      <c r="I7">
        <v>74</v>
      </c>
      <c r="J7">
        <v>0</v>
      </c>
      <c r="K7">
        <v>3</v>
      </c>
      <c r="L7">
        <v>3</v>
      </c>
      <c r="M7">
        <v>0</v>
      </c>
      <c r="N7">
        <v>0</v>
      </c>
      <c r="O7">
        <v>1</v>
      </c>
      <c r="P7">
        <v>0</v>
      </c>
      <c r="Q7">
        <v>8</v>
      </c>
      <c r="R7">
        <v>1</v>
      </c>
      <c r="S7">
        <v>2</v>
      </c>
      <c r="T7">
        <v>0</v>
      </c>
      <c r="U7">
        <v>0</v>
      </c>
      <c r="V7">
        <v>0</v>
      </c>
      <c r="W7">
        <v>2</v>
      </c>
      <c r="X7">
        <v>5</v>
      </c>
      <c r="Y7">
        <v>17</v>
      </c>
      <c r="Z7">
        <v>4</v>
      </c>
      <c r="AB7">
        <f t="shared" si="0"/>
        <v>150</v>
      </c>
    </row>
    <row r="8" spans="3:34">
      <c r="C8" t="s">
        <v>6</v>
      </c>
      <c r="D8">
        <v>0</v>
      </c>
      <c r="E8">
        <v>7</v>
      </c>
      <c r="F8">
        <v>1</v>
      </c>
      <c r="G8">
        <v>0</v>
      </c>
      <c r="H8">
        <v>0</v>
      </c>
      <c r="I8">
        <v>0</v>
      </c>
      <c r="J8">
        <v>138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B8">
        <f t="shared" si="0"/>
        <v>150</v>
      </c>
    </row>
    <row r="9" spans="3:34" ht="16" thickBot="1">
      <c r="C9" t="s">
        <v>7</v>
      </c>
      <c r="D9">
        <v>0</v>
      </c>
      <c r="E9">
        <v>1</v>
      </c>
      <c r="F9">
        <v>0</v>
      </c>
      <c r="G9">
        <v>0</v>
      </c>
      <c r="H9">
        <v>3</v>
      </c>
      <c r="I9">
        <v>10</v>
      </c>
      <c r="J9">
        <v>4</v>
      </c>
      <c r="K9">
        <v>130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B9">
        <f t="shared" si="0"/>
        <v>150</v>
      </c>
      <c r="AF9" t="s">
        <v>28</v>
      </c>
    </row>
    <row r="10" spans="3:34">
      <c r="C10" t="s">
        <v>8</v>
      </c>
      <c r="D10">
        <v>3</v>
      </c>
      <c r="E10">
        <v>18</v>
      </c>
      <c r="F10">
        <v>1</v>
      </c>
      <c r="G10">
        <v>3</v>
      </c>
      <c r="H10">
        <v>7</v>
      </c>
      <c r="I10">
        <v>0</v>
      </c>
      <c r="J10">
        <v>9</v>
      </c>
      <c r="K10">
        <v>3</v>
      </c>
      <c r="L10">
        <v>55</v>
      </c>
      <c r="M10">
        <v>1</v>
      </c>
      <c r="N10">
        <v>16</v>
      </c>
      <c r="O10">
        <v>11</v>
      </c>
      <c r="P10">
        <v>13</v>
      </c>
      <c r="Q10">
        <v>0</v>
      </c>
      <c r="R10">
        <v>7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B10">
        <f t="shared" si="0"/>
        <v>150</v>
      </c>
      <c r="AF10" s="10" t="s">
        <v>29</v>
      </c>
      <c r="AG10" s="11"/>
      <c r="AH10" s="12"/>
    </row>
    <row r="11" spans="3:34">
      <c r="C11" t="s">
        <v>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  <c r="K11">
        <v>3</v>
      </c>
      <c r="L11">
        <v>2</v>
      </c>
      <c r="M11">
        <v>62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B11">
        <f t="shared" si="0"/>
        <v>150</v>
      </c>
      <c r="AF11" s="13" t="s">
        <v>30</v>
      </c>
      <c r="AG11" s="14"/>
      <c r="AH11" s="15"/>
    </row>
    <row r="12" spans="3:34">
      <c r="C12" t="s">
        <v>10</v>
      </c>
      <c r="D12">
        <v>0</v>
      </c>
      <c r="E12">
        <v>1</v>
      </c>
      <c r="F12">
        <v>1</v>
      </c>
      <c r="G12">
        <v>2</v>
      </c>
      <c r="H12">
        <v>24</v>
      </c>
      <c r="I12">
        <v>15</v>
      </c>
      <c r="J12">
        <v>0</v>
      </c>
      <c r="K12">
        <v>4</v>
      </c>
      <c r="L12">
        <v>9</v>
      </c>
      <c r="M12">
        <v>0</v>
      </c>
      <c r="N12">
        <v>45</v>
      </c>
      <c r="O12">
        <v>0</v>
      </c>
      <c r="P12">
        <v>12</v>
      </c>
      <c r="Q12">
        <v>9</v>
      </c>
      <c r="R12">
        <v>21</v>
      </c>
      <c r="S12">
        <v>0</v>
      </c>
      <c r="T12">
        <v>0</v>
      </c>
      <c r="U12">
        <v>0</v>
      </c>
      <c r="V12">
        <v>1</v>
      </c>
      <c r="W12">
        <v>3</v>
      </c>
      <c r="X12">
        <v>1</v>
      </c>
      <c r="Y12">
        <v>2</v>
      </c>
      <c r="Z12">
        <v>0</v>
      </c>
      <c r="AB12">
        <f t="shared" si="0"/>
        <v>150</v>
      </c>
      <c r="AF12" s="13" t="s">
        <v>31</v>
      </c>
      <c r="AG12" s="14"/>
      <c r="AH12" s="15"/>
    </row>
    <row r="13" spans="3:34">
      <c r="C13" t="s">
        <v>11</v>
      </c>
      <c r="D13">
        <v>14</v>
      </c>
      <c r="E13">
        <v>16</v>
      </c>
      <c r="F13">
        <v>9</v>
      </c>
      <c r="G13">
        <v>12</v>
      </c>
      <c r="H13">
        <v>2</v>
      </c>
      <c r="I13">
        <v>1</v>
      </c>
      <c r="J13">
        <v>5</v>
      </c>
      <c r="K13">
        <v>0</v>
      </c>
      <c r="L13">
        <v>11</v>
      </c>
      <c r="M13">
        <v>0</v>
      </c>
      <c r="N13">
        <v>4</v>
      </c>
      <c r="O13">
        <v>54</v>
      </c>
      <c r="P13">
        <v>9</v>
      </c>
      <c r="Q13">
        <v>3</v>
      </c>
      <c r="R13">
        <v>6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B13">
        <f t="shared" si="0"/>
        <v>150</v>
      </c>
      <c r="AF13" s="13" t="s">
        <v>32</v>
      </c>
      <c r="AG13" s="14"/>
      <c r="AH13" s="15"/>
    </row>
    <row r="14" spans="3:34">
      <c r="C14" t="s">
        <v>12</v>
      </c>
      <c r="D14">
        <v>11</v>
      </c>
      <c r="E14">
        <v>18</v>
      </c>
      <c r="F14">
        <v>7</v>
      </c>
      <c r="G14">
        <v>11</v>
      </c>
      <c r="H14">
        <v>6</v>
      </c>
      <c r="I14">
        <v>5</v>
      </c>
      <c r="J14">
        <v>2</v>
      </c>
      <c r="K14">
        <v>0</v>
      </c>
      <c r="L14">
        <v>12</v>
      </c>
      <c r="M14">
        <v>0</v>
      </c>
      <c r="N14">
        <v>2</v>
      </c>
      <c r="O14">
        <v>36</v>
      </c>
      <c r="P14">
        <v>20</v>
      </c>
      <c r="Q14">
        <v>4</v>
      </c>
      <c r="R14">
        <v>10</v>
      </c>
      <c r="S14">
        <v>3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2</v>
      </c>
      <c r="AB14">
        <f t="shared" si="0"/>
        <v>150</v>
      </c>
      <c r="AF14" s="13" t="s">
        <v>33</v>
      </c>
      <c r="AG14" s="14"/>
      <c r="AH14" s="15"/>
    </row>
    <row r="15" spans="3:34">
      <c r="C15" t="s">
        <v>13</v>
      </c>
      <c r="D15">
        <v>1</v>
      </c>
      <c r="E15">
        <v>2</v>
      </c>
      <c r="F15">
        <v>1</v>
      </c>
      <c r="G15">
        <v>17</v>
      </c>
      <c r="H15">
        <v>15</v>
      </c>
      <c r="I15">
        <v>7</v>
      </c>
      <c r="J15">
        <v>0</v>
      </c>
      <c r="K15">
        <v>0</v>
      </c>
      <c r="L15">
        <v>0</v>
      </c>
      <c r="M15">
        <v>1</v>
      </c>
      <c r="N15">
        <v>3</v>
      </c>
      <c r="O15">
        <v>4</v>
      </c>
      <c r="P15">
        <v>17</v>
      </c>
      <c r="Q15">
        <v>34</v>
      </c>
      <c r="R15">
        <v>31</v>
      </c>
      <c r="S15">
        <v>0</v>
      </c>
      <c r="T15">
        <v>1</v>
      </c>
      <c r="U15">
        <v>1</v>
      </c>
      <c r="V15">
        <v>9</v>
      </c>
      <c r="W15">
        <v>2</v>
      </c>
      <c r="X15">
        <v>2</v>
      </c>
      <c r="Y15">
        <v>0</v>
      </c>
      <c r="Z15">
        <v>2</v>
      </c>
      <c r="AB15">
        <f t="shared" si="0"/>
        <v>150</v>
      </c>
      <c r="AF15" s="13" t="s">
        <v>34</v>
      </c>
      <c r="AG15" s="14"/>
      <c r="AH15" s="15"/>
    </row>
    <row r="16" spans="3:34">
      <c r="C16" t="s">
        <v>14</v>
      </c>
      <c r="D16">
        <v>4</v>
      </c>
      <c r="E16">
        <v>2</v>
      </c>
      <c r="F16">
        <v>2</v>
      </c>
      <c r="G16">
        <v>6</v>
      </c>
      <c r="H16">
        <v>12</v>
      </c>
      <c r="I16">
        <v>7</v>
      </c>
      <c r="J16">
        <v>3</v>
      </c>
      <c r="K16">
        <v>0</v>
      </c>
      <c r="L16">
        <v>4</v>
      </c>
      <c r="M16">
        <v>1</v>
      </c>
      <c r="N16">
        <v>14</v>
      </c>
      <c r="O16">
        <v>2</v>
      </c>
      <c r="P16">
        <v>16</v>
      </c>
      <c r="Q16">
        <v>16</v>
      </c>
      <c r="R16">
        <v>45</v>
      </c>
      <c r="S16">
        <v>1</v>
      </c>
      <c r="T16">
        <v>2</v>
      </c>
      <c r="U16">
        <v>2</v>
      </c>
      <c r="V16">
        <v>5</v>
      </c>
      <c r="W16">
        <v>4</v>
      </c>
      <c r="X16">
        <v>1</v>
      </c>
      <c r="Y16">
        <v>0</v>
      </c>
      <c r="Z16">
        <v>1</v>
      </c>
      <c r="AB16">
        <f t="shared" si="0"/>
        <v>150</v>
      </c>
      <c r="AF16" s="13" t="s">
        <v>35</v>
      </c>
      <c r="AG16" s="14"/>
      <c r="AH16" s="15"/>
    </row>
    <row r="17" spans="1:34">
      <c r="C17" t="s">
        <v>15</v>
      </c>
      <c r="D17">
        <v>29</v>
      </c>
      <c r="E17">
        <v>42</v>
      </c>
      <c r="F17">
        <v>33</v>
      </c>
      <c r="G17">
        <v>1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5</v>
      </c>
      <c r="P17">
        <v>2</v>
      </c>
      <c r="Q17">
        <v>1</v>
      </c>
      <c r="R17">
        <v>0</v>
      </c>
      <c r="S17">
        <v>19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14</v>
      </c>
      <c r="AB17">
        <f t="shared" si="0"/>
        <v>150</v>
      </c>
      <c r="AF17" s="13" t="s">
        <v>36</v>
      </c>
      <c r="AG17" s="14"/>
      <c r="AH17" s="15"/>
    </row>
    <row r="18" spans="1:34">
      <c r="C18" t="s">
        <v>16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2</v>
      </c>
      <c r="T18">
        <v>118</v>
      </c>
      <c r="U18">
        <v>26</v>
      </c>
      <c r="V18">
        <v>0</v>
      </c>
      <c r="W18">
        <v>0</v>
      </c>
      <c r="X18">
        <v>0</v>
      </c>
      <c r="Y18">
        <v>0</v>
      </c>
      <c r="Z18">
        <v>0</v>
      </c>
      <c r="AB18">
        <f t="shared" si="0"/>
        <v>150</v>
      </c>
      <c r="AF18" s="13" t="s">
        <v>37</v>
      </c>
      <c r="AG18" s="14"/>
      <c r="AH18" s="15"/>
    </row>
    <row r="19" spans="1:34">
      <c r="C19" t="s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20</v>
      </c>
      <c r="U19">
        <v>126</v>
      </c>
      <c r="V19">
        <v>0</v>
      </c>
      <c r="W19">
        <v>0</v>
      </c>
      <c r="X19">
        <v>0</v>
      </c>
      <c r="Y19">
        <v>1</v>
      </c>
      <c r="Z19">
        <v>1</v>
      </c>
      <c r="AB19">
        <f t="shared" si="0"/>
        <v>150</v>
      </c>
      <c r="AF19" s="13" t="s">
        <v>38</v>
      </c>
      <c r="AG19" s="14"/>
      <c r="AH19" s="15"/>
    </row>
    <row r="20" spans="1:34">
      <c r="C20" t="s">
        <v>18</v>
      </c>
      <c r="D20">
        <v>3</v>
      </c>
      <c r="E20">
        <v>0</v>
      </c>
      <c r="F20">
        <v>1</v>
      </c>
      <c r="G20">
        <v>11</v>
      </c>
      <c r="H20">
        <v>1</v>
      </c>
      <c r="I20">
        <v>4</v>
      </c>
      <c r="J20">
        <v>1</v>
      </c>
      <c r="K20">
        <v>1</v>
      </c>
      <c r="L20">
        <v>0</v>
      </c>
      <c r="M20">
        <v>0</v>
      </c>
      <c r="N20">
        <v>0</v>
      </c>
      <c r="O20">
        <v>5</v>
      </c>
      <c r="P20">
        <v>0</v>
      </c>
      <c r="Q20">
        <v>0</v>
      </c>
      <c r="R20">
        <v>0</v>
      </c>
      <c r="S20">
        <v>2</v>
      </c>
      <c r="T20">
        <v>2</v>
      </c>
      <c r="U20">
        <v>3</v>
      </c>
      <c r="V20">
        <v>107</v>
      </c>
      <c r="W20">
        <v>3</v>
      </c>
      <c r="X20">
        <v>1</v>
      </c>
      <c r="Y20">
        <v>2</v>
      </c>
      <c r="Z20">
        <v>3</v>
      </c>
      <c r="AB20">
        <f t="shared" si="0"/>
        <v>150</v>
      </c>
      <c r="AF20" s="13" t="s">
        <v>39</v>
      </c>
      <c r="AG20" s="14"/>
      <c r="AH20" s="15"/>
    </row>
    <row r="21" spans="1:34">
      <c r="C21" t="s">
        <v>19</v>
      </c>
      <c r="D21">
        <v>0</v>
      </c>
      <c r="E21">
        <v>1</v>
      </c>
      <c r="F21">
        <v>1</v>
      </c>
      <c r="G21">
        <v>2</v>
      </c>
      <c r="H21">
        <v>1</v>
      </c>
      <c r="I21">
        <v>7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30</v>
      </c>
      <c r="W21">
        <v>68</v>
      </c>
      <c r="X21">
        <v>14</v>
      </c>
      <c r="Y21">
        <v>20</v>
      </c>
      <c r="Z21">
        <v>2</v>
      </c>
      <c r="AB21">
        <f t="shared" si="0"/>
        <v>150</v>
      </c>
      <c r="AF21" s="13" t="s">
        <v>40</v>
      </c>
      <c r="AG21" s="14"/>
      <c r="AH21" s="15"/>
    </row>
    <row r="22" spans="1:34">
      <c r="C22" t="s">
        <v>20</v>
      </c>
      <c r="D22">
        <v>0</v>
      </c>
      <c r="E22">
        <v>4</v>
      </c>
      <c r="F22">
        <v>1</v>
      </c>
      <c r="G22">
        <v>2</v>
      </c>
      <c r="H22">
        <v>1</v>
      </c>
      <c r="I22">
        <v>2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2</v>
      </c>
      <c r="S22">
        <v>2</v>
      </c>
      <c r="T22">
        <v>1</v>
      </c>
      <c r="U22">
        <v>0</v>
      </c>
      <c r="V22">
        <v>14</v>
      </c>
      <c r="W22">
        <v>22</v>
      </c>
      <c r="X22">
        <v>75</v>
      </c>
      <c r="Y22">
        <v>17</v>
      </c>
      <c r="Z22">
        <v>1</v>
      </c>
      <c r="AB22">
        <f t="shared" si="0"/>
        <v>150</v>
      </c>
      <c r="AF22" s="13" t="s">
        <v>41</v>
      </c>
      <c r="AG22" s="14"/>
      <c r="AH22" s="15"/>
    </row>
    <row r="23" spans="1:34">
      <c r="C23" t="s">
        <v>21</v>
      </c>
      <c r="D23">
        <v>0</v>
      </c>
      <c r="E23">
        <v>0</v>
      </c>
      <c r="F23">
        <v>0</v>
      </c>
      <c r="G23">
        <v>2</v>
      </c>
      <c r="H23">
        <v>1</v>
      </c>
      <c r="I23">
        <v>5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3</v>
      </c>
      <c r="R23">
        <v>0</v>
      </c>
      <c r="S23">
        <v>1</v>
      </c>
      <c r="T23">
        <v>3</v>
      </c>
      <c r="U23">
        <v>1</v>
      </c>
      <c r="V23">
        <v>3</v>
      </c>
      <c r="W23">
        <v>6</v>
      </c>
      <c r="X23">
        <v>5</v>
      </c>
      <c r="Y23">
        <v>108</v>
      </c>
      <c r="Z23">
        <v>10</v>
      </c>
      <c r="AB23">
        <f t="shared" si="0"/>
        <v>150</v>
      </c>
      <c r="AF23" s="13" t="s">
        <v>42</v>
      </c>
      <c r="AG23" s="14"/>
      <c r="AH23" s="15"/>
    </row>
    <row r="24" spans="1:34">
      <c r="C24" t="s">
        <v>22</v>
      </c>
      <c r="D24">
        <v>3</v>
      </c>
      <c r="E24">
        <v>5</v>
      </c>
      <c r="F24">
        <v>10</v>
      </c>
      <c r="G24">
        <v>3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4</v>
      </c>
      <c r="P24">
        <v>2</v>
      </c>
      <c r="Q24">
        <v>1</v>
      </c>
      <c r="R24">
        <v>2</v>
      </c>
      <c r="S24">
        <v>11</v>
      </c>
      <c r="T24">
        <v>1</v>
      </c>
      <c r="U24">
        <v>2</v>
      </c>
      <c r="V24">
        <v>3</v>
      </c>
      <c r="W24">
        <v>3</v>
      </c>
      <c r="X24">
        <v>1</v>
      </c>
      <c r="Y24">
        <v>2</v>
      </c>
      <c r="Z24">
        <v>94</v>
      </c>
      <c r="AB24">
        <f t="shared" si="0"/>
        <v>150</v>
      </c>
      <c r="AF24" s="13" t="s">
        <v>43</v>
      </c>
      <c r="AG24" s="14"/>
      <c r="AH24" s="15"/>
    </row>
    <row r="25" spans="1:34">
      <c r="AF25" s="13" t="s">
        <v>44</v>
      </c>
      <c r="AG25" s="14"/>
      <c r="AH25" s="15"/>
    </row>
    <row r="26" spans="1:34">
      <c r="D26">
        <f>SUM(D2:D24)</f>
        <v>136</v>
      </c>
      <c r="E26">
        <f t="shared" ref="E26:Z26" si="1">SUM(E2:E24)</f>
        <v>308</v>
      </c>
      <c r="F26">
        <f t="shared" si="1"/>
        <v>233</v>
      </c>
      <c r="G26">
        <f t="shared" si="1"/>
        <v>128</v>
      </c>
      <c r="H26">
        <f t="shared" si="1"/>
        <v>243</v>
      </c>
      <c r="I26">
        <f t="shared" si="1"/>
        <v>153</v>
      </c>
      <c r="J26">
        <f t="shared" si="1"/>
        <v>257</v>
      </c>
      <c r="K26">
        <f t="shared" si="1"/>
        <v>152</v>
      </c>
      <c r="L26">
        <f t="shared" si="1"/>
        <v>107</v>
      </c>
      <c r="M26">
        <f t="shared" si="1"/>
        <v>67</v>
      </c>
      <c r="N26">
        <f t="shared" si="1"/>
        <v>88</v>
      </c>
      <c r="O26">
        <f t="shared" si="1"/>
        <v>143</v>
      </c>
      <c r="P26">
        <f t="shared" si="1"/>
        <v>102</v>
      </c>
      <c r="Q26">
        <f t="shared" si="1"/>
        <v>93</v>
      </c>
      <c r="R26">
        <f t="shared" si="1"/>
        <v>143</v>
      </c>
      <c r="S26">
        <f t="shared" si="1"/>
        <v>51</v>
      </c>
      <c r="T26">
        <f t="shared" si="1"/>
        <v>152</v>
      </c>
      <c r="U26">
        <f t="shared" si="1"/>
        <v>166</v>
      </c>
      <c r="V26">
        <f t="shared" si="1"/>
        <v>177</v>
      </c>
      <c r="W26">
        <f t="shared" si="1"/>
        <v>118</v>
      </c>
      <c r="X26">
        <f t="shared" si="1"/>
        <v>106</v>
      </c>
      <c r="Y26">
        <f t="shared" si="1"/>
        <v>171</v>
      </c>
      <c r="Z26">
        <f t="shared" si="1"/>
        <v>156</v>
      </c>
      <c r="AF26" s="13" t="s">
        <v>45</v>
      </c>
      <c r="AG26" s="14"/>
      <c r="AH26" s="15"/>
    </row>
    <row r="27" spans="1:34">
      <c r="AF27" s="13" t="s">
        <v>46</v>
      </c>
      <c r="AG27" s="14"/>
      <c r="AH27" s="15"/>
    </row>
    <row r="28" spans="1:34">
      <c r="AF28" s="13" t="s">
        <v>47</v>
      </c>
      <c r="AG28" s="14"/>
      <c r="AH28" s="15"/>
    </row>
    <row r="29" spans="1:34" ht="16" thickBot="1">
      <c r="A29" s="6" t="s">
        <v>27</v>
      </c>
      <c r="B29" s="7"/>
      <c r="C29" s="7"/>
      <c r="D29" s="7"/>
      <c r="E29" s="7"/>
      <c r="F29" s="8"/>
      <c r="AF29" s="16" t="s">
        <v>48</v>
      </c>
      <c r="AG29" s="17"/>
      <c r="AH29" s="18"/>
    </row>
    <row r="30" spans="1:34">
      <c r="C30" s="1" t="s">
        <v>23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 t="s">
        <v>15</v>
      </c>
      <c r="T30" t="s">
        <v>16</v>
      </c>
      <c r="U30" t="s">
        <v>17</v>
      </c>
      <c r="V30" t="s">
        <v>18</v>
      </c>
      <c r="W30" t="s">
        <v>19</v>
      </c>
      <c r="X30" t="s">
        <v>20</v>
      </c>
      <c r="Y30" t="s">
        <v>21</v>
      </c>
      <c r="Z30" t="s">
        <v>22</v>
      </c>
      <c r="AB30" t="s">
        <v>24</v>
      </c>
    </row>
    <row r="31" spans="1:34">
      <c r="C31" t="s">
        <v>0</v>
      </c>
      <c r="D31" s="3">
        <f>D2/$AB2*100</f>
        <v>26.666666666666668</v>
      </c>
      <c r="E31" s="2">
        <f t="shared" ref="E31:Z31" si="2">E2/$AB2*100</f>
        <v>36.666666666666664</v>
      </c>
      <c r="F31" s="2">
        <f t="shared" si="2"/>
        <v>20</v>
      </c>
      <c r="G31" s="2">
        <f t="shared" si="2"/>
        <v>1.3333333333333335</v>
      </c>
      <c r="H31" s="2">
        <f t="shared" si="2"/>
        <v>0</v>
      </c>
      <c r="I31" s="2">
        <f t="shared" si="2"/>
        <v>0</v>
      </c>
      <c r="J31" s="2">
        <f t="shared" si="2"/>
        <v>0.66666666666666674</v>
      </c>
      <c r="K31" s="2">
        <f t="shared" si="2"/>
        <v>0</v>
      </c>
      <c r="L31" s="2">
        <f t="shared" si="2"/>
        <v>0.66666666666666674</v>
      </c>
      <c r="M31" s="2">
        <f t="shared" si="2"/>
        <v>0</v>
      </c>
      <c r="N31" s="2">
        <f t="shared" si="2"/>
        <v>0</v>
      </c>
      <c r="O31" s="2">
        <f t="shared" si="2"/>
        <v>3.3333333333333335</v>
      </c>
      <c r="P31" s="2">
        <f t="shared" si="2"/>
        <v>0.66666666666666674</v>
      </c>
      <c r="Q31" s="2">
        <f t="shared" si="2"/>
        <v>2</v>
      </c>
      <c r="R31" s="2">
        <f t="shared" si="2"/>
        <v>0</v>
      </c>
      <c r="S31" s="2">
        <f t="shared" si="2"/>
        <v>3.3333333333333335</v>
      </c>
      <c r="T31" s="2">
        <f t="shared" si="2"/>
        <v>0</v>
      </c>
      <c r="U31" s="2">
        <f t="shared" si="2"/>
        <v>0</v>
      </c>
      <c r="V31" s="2">
        <f t="shared" si="2"/>
        <v>0.66666666666666674</v>
      </c>
      <c r="W31" s="2">
        <f t="shared" si="2"/>
        <v>0</v>
      </c>
      <c r="X31" s="2">
        <f t="shared" si="2"/>
        <v>0</v>
      </c>
      <c r="Y31" s="2">
        <f t="shared" si="2"/>
        <v>0</v>
      </c>
      <c r="Z31" s="2">
        <f t="shared" si="2"/>
        <v>4</v>
      </c>
      <c r="AB31" s="2">
        <f>SUM(D31:Z31)</f>
        <v>100</v>
      </c>
      <c r="AF31" t="s">
        <v>49</v>
      </c>
    </row>
    <row r="32" spans="1:34">
      <c r="C32" t="s">
        <v>1</v>
      </c>
      <c r="D32" s="2">
        <f t="shared" ref="D32:Z32" si="3">D3/$AB3*100</f>
        <v>2.666666666666667</v>
      </c>
      <c r="E32" s="3">
        <f t="shared" si="3"/>
        <v>68.666666666666671</v>
      </c>
      <c r="F32" s="2">
        <f t="shared" si="3"/>
        <v>16</v>
      </c>
      <c r="G32" s="2">
        <f t="shared" si="3"/>
        <v>0</v>
      </c>
      <c r="H32" s="2">
        <f t="shared" si="3"/>
        <v>2</v>
      </c>
      <c r="I32" s="2">
        <f t="shared" si="3"/>
        <v>0</v>
      </c>
      <c r="J32" s="2">
        <f t="shared" si="3"/>
        <v>2</v>
      </c>
      <c r="K32" s="2">
        <f t="shared" si="3"/>
        <v>0</v>
      </c>
      <c r="L32" s="2">
        <f t="shared" si="3"/>
        <v>0.66666666666666674</v>
      </c>
      <c r="M32" s="2">
        <f t="shared" si="3"/>
        <v>0</v>
      </c>
      <c r="N32" s="2">
        <f t="shared" si="3"/>
        <v>0</v>
      </c>
      <c r="O32" s="2">
        <f t="shared" si="3"/>
        <v>0</v>
      </c>
      <c r="P32" s="2">
        <f t="shared" si="3"/>
        <v>0.66666666666666674</v>
      </c>
      <c r="Q32" s="2">
        <f t="shared" si="3"/>
        <v>0</v>
      </c>
      <c r="R32" s="2">
        <f t="shared" si="3"/>
        <v>1.3333333333333335</v>
      </c>
      <c r="S32" s="2">
        <f t="shared" si="3"/>
        <v>0.66666666666666674</v>
      </c>
      <c r="T32" s="2">
        <f t="shared" si="3"/>
        <v>0</v>
      </c>
      <c r="U32" s="2">
        <f t="shared" si="3"/>
        <v>0.66666666666666674</v>
      </c>
      <c r="V32" s="2">
        <f t="shared" si="3"/>
        <v>0</v>
      </c>
      <c r="W32" s="2">
        <f t="shared" si="3"/>
        <v>2</v>
      </c>
      <c r="X32" s="2">
        <f t="shared" si="3"/>
        <v>0</v>
      </c>
      <c r="Y32" s="2">
        <f t="shared" si="3"/>
        <v>0</v>
      </c>
      <c r="Z32" s="2">
        <f t="shared" si="3"/>
        <v>2.666666666666667</v>
      </c>
      <c r="AB32" s="2">
        <f t="shared" ref="AB32:AB53" si="4">SUM(D32:Z32)</f>
        <v>100.00000000000003</v>
      </c>
      <c r="AF32" t="s">
        <v>50</v>
      </c>
    </row>
    <row r="33" spans="3:33">
      <c r="C33" t="s">
        <v>2</v>
      </c>
      <c r="D33" s="2">
        <f t="shared" ref="D33:Z33" si="5">D4/$AB4*100</f>
        <v>8</v>
      </c>
      <c r="E33" s="2">
        <f t="shared" si="5"/>
        <v>13.333333333333334</v>
      </c>
      <c r="F33" s="3">
        <f t="shared" si="5"/>
        <v>68</v>
      </c>
      <c r="G33" s="2">
        <f t="shared" si="5"/>
        <v>2.666666666666667</v>
      </c>
      <c r="H33" s="2">
        <f t="shared" si="5"/>
        <v>0.66666666666666674</v>
      </c>
      <c r="I33" s="2">
        <f t="shared" si="5"/>
        <v>0</v>
      </c>
      <c r="J33" s="2">
        <f t="shared" si="5"/>
        <v>2.666666666666667</v>
      </c>
      <c r="K33" s="2">
        <f t="shared" si="5"/>
        <v>0.66666666666666674</v>
      </c>
      <c r="L33" s="2">
        <f t="shared" si="5"/>
        <v>0</v>
      </c>
      <c r="M33" s="2">
        <f t="shared" si="5"/>
        <v>0</v>
      </c>
      <c r="N33" s="2">
        <f t="shared" si="5"/>
        <v>0</v>
      </c>
      <c r="O33" s="2">
        <f t="shared" si="5"/>
        <v>0</v>
      </c>
      <c r="P33" s="2">
        <f t="shared" si="5"/>
        <v>0.66666666666666674</v>
      </c>
      <c r="Q33" s="2">
        <f t="shared" si="5"/>
        <v>0</v>
      </c>
      <c r="R33" s="2">
        <f t="shared" si="5"/>
        <v>0</v>
      </c>
      <c r="S33" s="2">
        <f t="shared" si="5"/>
        <v>0.66666666666666674</v>
      </c>
      <c r="T33" s="2">
        <f t="shared" si="5"/>
        <v>0</v>
      </c>
      <c r="U33" s="2">
        <f t="shared" si="5"/>
        <v>0</v>
      </c>
      <c r="V33" s="2">
        <f t="shared" si="5"/>
        <v>0</v>
      </c>
      <c r="W33" s="2">
        <f t="shared" si="5"/>
        <v>0.66666666666666674</v>
      </c>
      <c r="X33" s="2">
        <f t="shared" si="5"/>
        <v>0</v>
      </c>
      <c r="Y33" s="2">
        <f t="shared" si="5"/>
        <v>0</v>
      </c>
      <c r="Z33" s="2">
        <f t="shared" si="5"/>
        <v>2</v>
      </c>
      <c r="AB33" s="2">
        <f t="shared" si="4"/>
        <v>100.00000000000004</v>
      </c>
      <c r="AF33" t="s">
        <v>51</v>
      </c>
    </row>
    <row r="34" spans="3:33">
      <c r="C34" t="s">
        <v>3</v>
      </c>
      <c r="D34" s="2">
        <f t="shared" ref="D34:Z34" si="6">D5/$AB5*100</f>
        <v>6</v>
      </c>
      <c r="E34" s="2">
        <f t="shared" si="6"/>
        <v>4</v>
      </c>
      <c r="F34" s="2">
        <f t="shared" si="6"/>
        <v>4.666666666666667</v>
      </c>
      <c r="G34" s="3">
        <f t="shared" si="6"/>
        <v>26</v>
      </c>
      <c r="H34" s="2">
        <f t="shared" si="6"/>
        <v>20</v>
      </c>
      <c r="I34" s="2">
        <f t="shared" si="6"/>
        <v>6.666666666666667</v>
      </c>
      <c r="J34" s="2">
        <f t="shared" si="6"/>
        <v>0.66666666666666674</v>
      </c>
      <c r="K34" s="2">
        <f t="shared" si="6"/>
        <v>0.66666666666666674</v>
      </c>
      <c r="L34" s="2">
        <f t="shared" si="6"/>
        <v>1.3333333333333335</v>
      </c>
      <c r="M34" s="2">
        <f t="shared" si="6"/>
        <v>0</v>
      </c>
      <c r="N34" s="2">
        <f t="shared" si="6"/>
        <v>0</v>
      </c>
      <c r="O34" s="2">
        <f t="shared" si="6"/>
        <v>7.333333333333333</v>
      </c>
      <c r="P34" s="2">
        <f t="shared" si="6"/>
        <v>2</v>
      </c>
      <c r="Q34" s="2">
        <f t="shared" si="6"/>
        <v>6</v>
      </c>
      <c r="R34" s="2">
        <f t="shared" si="6"/>
        <v>8</v>
      </c>
      <c r="S34" s="2">
        <f t="shared" si="6"/>
        <v>0</v>
      </c>
      <c r="T34" s="2">
        <f t="shared" si="6"/>
        <v>0</v>
      </c>
      <c r="U34" s="2">
        <f t="shared" si="6"/>
        <v>0</v>
      </c>
      <c r="V34" s="2">
        <f t="shared" si="6"/>
        <v>2</v>
      </c>
      <c r="W34" s="2">
        <f t="shared" si="6"/>
        <v>0.66666666666666674</v>
      </c>
      <c r="X34" s="2">
        <f t="shared" si="6"/>
        <v>0.66666666666666674</v>
      </c>
      <c r="Y34" s="2">
        <f t="shared" si="6"/>
        <v>0.66666666666666674</v>
      </c>
      <c r="Z34" s="2">
        <f t="shared" si="6"/>
        <v>2.666666666666667</v>
      </c>
      <c r="AB34" s="2">
        <f t="shared" si="4"/>
        <v>100.00000000000003</v>
      </c>
      <c r="AF34" t="s">
        <v>52</v>
      </c>
    </row>
    <row r="35" spans="3:33">
      <c r="C35" t="s">
        <v>4</v>
      </c>
      <c r="D35" s="2">
        <f t="shared" ref="D35:Z35" si="7">D6/$AB6*100</f>
        <v>0.66666666666666674</v>
      </c>
      <c r="E35" s="2">
        <f t="shared" si="7"/>
        <v>4</v>
      </c>
      <c r="F35" s="2">
        <f t="shared" si="7"/>
        <v>0</v>
      </c>
      <c r="G35" s="2">
        <f t="shared" si="7"/>
        <v>2.666666666666667</v>
      </c>
      <c r="H35" s="3">
        <f t="shared" si="7"/>
        <v>76</v>
      </c>
      <c r="I35" s="2">
        <f t="shared" si="7"/>
        <v>3.3333333333333335</v>
      </c>
      <c r="J35" s="2">
        <f t="shared" si="7"/>
        <v>1.3333333333333335</v>
      </c>
      <c r="K35" s="2">
        <f t="shared" si="7"/>
        <v>2</v>
      </c>
      <c r="L35" s="2">
        <f t="shared" si="7"/>
        <v>2</v>
      </c>
      <c r="M35" s="2">
        <f t="shared" si="7"/>
        <v>0</v>
      </c>
      <c r="N35" s="2">
        <f t="shared" si="7"/>
        <v>0.66666666666666674</v>
      </c>
      <c r="O35" s="2">
        <f t="shared" si="7"/>
        <v>0.66666666666666674</v>
      </c>
      <c r="P35" s="2">
        <f t="shared" si="7"/>
        <v>3.3333333333333335</v>
      </c>
      <c r="Q35" s="2">
        <f t="shared" si="7"/>
        <v>0</v>
      </c>
      <c r="R35" s="2">
        <f t="shared" si="7"/>
        <v>2.666666666666667</v>
      </c>
      <c r="S35" s="2">
        <f t="shared" si="7"/>
        <v>0</v>
      </c>
      <c r="T35" s="2">
        <f t="shared" si="7"/>
        <v>0</v>
      </c>
      <c r="U35" s="2">
        <f t="shared" si="7"/>
        <v>0</v>
      </c>
      <c r="V35" s="2">
        <f t="shared" si="7"/>
        <v>0</v>
      </c>
      <c r="W35" s="2">
        <f t="shared" si="7"/>
        <v>0</v>
      </c>
      <c r="X35" s="2">
        <f t="shared" si="7"/>
        <v>0</v>
      </c>
      <c r="Y35" s="2">
        <f t="shared" si="7"/>
        <v>0</v>
      </c>
      <c r="Z35" s="2">
        <f t="shared" si="7"/>
        <v>0.66666666666666674</v>
      </c>
      <c r="AB35" s="2">
        <f t="shared" si="4"/>
        <v>100</v>
      </c>
      <c r="AG35" t="s">
        <v>53</v>
      </c>
    </row>
    <row r="36" spans="3:33">
      <c r="C36" t="s">
        <v>5</v>
      </c>
      <c r="D36" s="2">
        <f t="shared" ref="D36:Z36" si="8">D7/$AB7*100</f>
        <v>0.66666666666666674</v>
      </c>
      <c r="E36" s="2">
        <f t="shared" si="8"/>
        <v>0</v>
      </c>
      <c r="F36" s="2">
        <f t="shared" si="8"/>
        <v>0.66666666666666674</v>
      </c>
      <c r="G36" s="2">
        <f t="shared" si="8"/>
        <v>4.666666666666667</v>
      </c>
      <c r="H36" s="2">
        <f t="shared" si="8"/>
        <v>14.000000000000002</v>
      </c>
      <c r="I36" s="3">
        <f t="shared" si="8"/>
        <v>49.333333333333336</v>
      </c>
      <c r="J36" s="2">
        <f t="shared" si="8"/>
        <v>0</v>
      </c>
      <c r="K36" s="2">
        <f t="shared" si="8"/>
        <v>2</v>
      </c>
      <c r="L36" s="2">
        <f t="shared" si="8"/>
        <v>2</v>
      </c>
      <c r="M36" s="2">
        <f t="shared" si="8"/>
        <v>0</v>
      </c>
      <c r="N36" s="2">
        <f t="shared" si="8"/>
        <v>0</v>
      </c>
      <c r="O36" s="2">
        <f t="shared" si="8"/>
        <v>0.66666666666666674</v>
      </c>
      <c r="P36" s="2">
        <f t="shared" si="8"/>
        <v>0</v>
      </c>
      <c r="Q36" s="2">
        <f t="shared" si="8"/>
        <v>5.3333333333333339</v>
      </c>
      <c r="R36" s="2">
        <f t="shared" si="8"/>
        <v>0.66666666666666674</v>
      </c>
      <c r="S36" s="2">
        <f t="shared" si="8"/>
        <v>1.3333333333333335</v>
      </c>
      <c r="T36" s="2">
        <f t="shared" si="8"/>
        <v>0</v>
      </c>
      <c r="U36" s="2">
        <f t="shared" si="8"/>
        <v>0</v>
      </c>
      <c r="V36" s="2">
        <f t="shared" si="8"/>
        <v>0</v>
      </c>
      <c r="W36" s="2">
        <f t="shared" si="8"/>
        <v>1.3333333333333335</v>
      </c>
      <c r="X36" s="2">
        <f t="shared" si="8"/>
        <v>3.3333333333333335</v>
      </c>
      <c r="Y36" s="2">
        <f t="shared" si="8"/>
        <v>11.333333333333332</v>
      </c>
      <c r="Z36" s="2">
        <f t="shared" si="8"/>
        <v>2.666666666666667</v>
      </c>
      <c r="AB36" s="2">
        <f t="shared" si="4"/>
        <v>100</v>
      </c>
    </row>
    <row r="37" spans="3:33">
      <c r="C37" t="s">
        <v>6</v>
      </c>
      <c r="D37" s="2">
        <f t="shared" ref="D37:Z37" si="9">D8/$AB8*100</f>
        <v>0</v>
      </c>
      <c r="E37" s="2">
        <f t="shared" si="9"/>
        <v>4.666666666666667</v>
      </c>
      <c r="F37" s="2">
        <f t="shared" si="9"/>
        <v>0.66666666666666674</v>
      </c>
      <c r="G37" s="2">
        <f t="shared" si="9"/>
        <v>0</v>
      </c>
      <c r="H37" s="2">
        <f t="shared" si="9"/>
        <v>0</v>
      </c>
      <c r="I37" s="2">
        <f t="shared" si="9"/>
        <v>0</v>
      </c>
      <c r="J37" s="3">
        <f t="shared" si="9"/>
        <v>92</v>
      </c>
      <c r="K37" s="2">
        <f t="shared" si="9"/>
        <v>0</v>
      </c>
      <c r="L37" s="2">
        <f t="shared" si="9"/>
        <v>0</v>
      </c>
      <c r="M37" s="2">
        <f t="shared" si="9"/>
        <v>1.3333333333333335</v>
      </c>
      <c r="N37" s="2">
        <f t="shared" si="9"/>
        <v>0</v>
      </c>
      <c r="O37" s="2">
        <f t="shared" si="9"/>
        <v>0</v>
      </c>
      <c r="P37" s="2">
        <f t="shared" si="9"/>
        <v>0</v>
      </c>
      <c r="Q37" s="2">
        <f t="shared" si="9"/>
        <v>0</v>
      </c>
      <c r="R37" s="2">
        <f t="shared" si="9"/>
        <v>0</v>
      </c>
      <c r="S37" s="2">
        <f t="shared" si="9"/>
        <v>0</v>
      </c>
      <c r="T37" s="2">
        <f t="shared" si="9"/>
        <v>0.66666666666666674</v>
      </c>
      <c r="U37" s="2">
        <f t="shared" si="9"/>
        <v>0</v>
      </c>
      <c r="V37" s="2">
        <f t="shared" si="9"/>
        <v>0</v>
      </c>
      <c r="W37" s="2">
        <f t="shared" si="9"/>
        <v>0</v>
      </c>
      <c r="X37" s="2">
        <f t="shared" si="9"/>
        <v>0</v>
      </c>
      <c r="Y37" s="2">
        <f t="shared" si="9"/>
        <v>0</v>
      </c>
      <c r="Z37" s="2">
        <f t="shared" si="9"/>
        <v>0.66666666666666674</v>
      </c>
      <c r="AB37" s="2">
        <f t="shared" si="4"/>
        <v>100</v>
      </c>
    </row>
    <row r="38" spans="3:33">
      <c r="C38" t="s">
        <v>7</v>
      </c>
      <c r="D38" s="2">
        <f t="shared" ref="D38:Z38" si="10">D9/$AB9*100</f>
        <v>0</v>
      </c>
      <c r="E38" s="2">
        <f t="shared" si="10"/>
        <v>0.66666666666666674</v>
      </c>
      <c r="F38" s="2">
        <f t="shared" si="10"/>
        <v>0</v>
      </c>
      <c r="G38" s="2">
        <f t="shared" si="10"/>
        <v>0</v>
      </c>
      <c r="H38" s="2">
        <f t="shared" si="10"/>
        <v>2</v>
      </c>
      <c r="I38" s="2">
        <f t="shared" si="10"/>
        <v>6.666666666666667</v>
      </c>
      <c r="J38" s="2">
        <f t="shared" si="10"/>
        <v>2.666666666666667</v>
      </c>
      <c r="K38" s="3">
        <f t="shared" si="10"/>
        <v>86.666666666666671</v>
      </c>
      <c r="L38" s="2">
        <f t="shared" si="10"/>
        <v>0</v>
      </c>
      <c r="M38" s="2">
        <f t="shared" si="10"/>
        <v>0</v>
      </c>
      <c r="N38" s="2">
        <f t="shared" si="10"/>
        <v>0</v>
      </c>
      <c r="O38" s="2">
        <f t="shared" si="10"/>
        <v>0.66666666666666674</v>
      </c>
      <c r="P38" s="2">
        <f t="shared" si="10"/>
        <v>0</v>
      </c>
      <c r="Q38" s="2">
        <f t="shared" si="10"/>
        <v>0</v>
      </c>
      <c r="R38" s="2">
        <f t="shared" si="10"/>
        <v>0</v>
      </c>
      <c r="S38" s="2">
        <f t="shared" si="10"/>
        <v>0</v>
      </c>
      <c r="T38" s="2">
        <f t="shared" si="10"/>
        <v>0</v>
      </c>
      <c r="U38" s="2">
        <f t="shared" si="10"/>
        <v>0</v>
      </c>
      <c r="V38" s="2">
        <f t="shared" si="10"/>
        <v>0</v>
      </c>
      <c r="W38" s="2">
        <f t="shared" si="10"/>
        <v>0</v>
      </c>
      <c r="X38" s="2">
        <f t="shared" si="10"/>
        <v>0</v>
      </c>
      <c r="Y38" s="2">
        <f t="shared" si="10"/>
        <v>0</v>
      </c>
      <c r="Z38" s="2">
        <f t="shared" si="10"/>
        <v>0.66666666666666674</v>
      </c>
      <c r="AB38" s="2">
        <f t="shared" si="4"/>
        <v>100.00000000000001</v>
      </c>
    </row>
    <row r="39" spans="3:33">
      <c r="C39" t="s">
        <v>8</v>
      </c>
      <c r="D39" s="2">
        <f t="shared" ref="D39:Z39" si="11">D10/$AB10*100</f>
        <v>2</v>
      </c>
      <c r="E39" s="2">
        <f t="shared" si="11"/>
        <v>12</v>
      </c>
      <c r="F39" s="2">
        <f t="shared" si="11"/>
        <v>0.66666666666666674</v>
      </c>
      <c r="G39" s="2">
        <f t="shared" si="11"/>
        <v>2</v>
      </c>
      <c r="H39" s="2">
        <f t="shared" si="11"/>
        <v>4.666666666666667</v>
      </c>
      <c r="I39" s="2">
        <f t="shared" si="11"/>
        <v>0</v>
      </c>
      <c r="J39" s="2">
        <f t="shared" si="11"/>
        <v>6</v>
      </c>
      <c r="K39" s="2">
        <f t="shared" si="11"/>
        <v>2</v>
      </c>
      <c r="L39" s="3">
        <f t="shared" si="11"/>
        <v>36.666666666666664</v>
      </c>
      <c r="M39" s="2">
        <f t="shared" si="11"/>
        <v>0.66666666666666674</v>
      </c>
      <c r="N39" s="2">
        <f t="shared" si="11"/>
        <v>10.666666666666668</v>
      </c>
      <c r="O39" s="2">
        <f t="shared" si="11"/>
        <v>7.333333333333333</v>
      </c>
      <c r="P39" s="2">
        <f t="shared" si="11"/>
        <v>8.6666666666666679</v>
      </c>
      <c r="Q39" s="2">
        <f t="shared" si="11"/>
        <v>0</v>
      </c>
      <c r="R39" s="2">
        <f t="shared" si="11"/>
        <v>4.666666666666667</v>
      </c>
      <c r="S39" s="2">
        <f t="shared" si="11"/>
        <v>0</v>
      </c>
      <c r="T39" s="2">
        <f t="shared" si="11"/>
        <v>0.66666666666666674</v>
      </c>
      <c r="U39" s="2">
        <f t="shared" si="11"/>
        <v>0.66666666666666674</v>
      </c>
      <c r="V39" s="2">
        <f t="shared" si="11"/>
        <v>0</v>
      </c>
      <c r="W39" s="2">
        <f t="shared" si="11"/>
        <v>0</v>
      </c>
      <c r="X39" s="2">
        <f t="shared" si="11"/>
        <v>0</v>
      </c>
      <c r="Y39" s="2">
        <f t="shared" si="11"/>
        <v>0.66666666666666674</v>
      </c>
      <c r="Z39" s="2">
        <f t="shared" si="11"/>
        <v>0</v>
      </c>
      <c r="AB39" s="2">
        <f t="shared" si="4"/>
        <v>100.00000000000003</v>
      </c>
    </row>
    <row r="40" spans="3:33">
      <c r="C40" t="s">
        <v>9</v>
      </c>
      <c r="D40" s="2">
        <f t="shared" ref="D40:Z40" si="12">D11/$AB11*100</f>
        <v>0.66666666666666674</v>
      </c>
      <c r="E40" s="2">
        <f t="shared" si="12"/>
        <v>0</v>
      </c>
      <c r="F40" s="2">
        <f t="shared" si="12"/>
        <v>0</v>
      </c>
      <c r="G40" s="2">
        <f t="shared" si="12"/>
        <v>0</v>
      </c>
      <c r="H40" s="2">
        <f t="shared" si="12"/>
        <v>0</v>
      </c>
      <c r="I40" s="2">
        <f t="shared" si="12"/>
        <v>0</v>
      </c>
      <c r="J40" s="2">
        <f t="shared" si="12"/>
        <v>53.333333333333336</v>
      </c>
      <c r="K40" s="2">
        <f t="shared" si="12"/>
        <v>2</v>
      </c>
      <c r="L40" s="2">
        <f t="shared" si="12"/>
        <v>1.3333333333333335</v>
      </c>
      <c r="M40" s="3">
        <f t="shared" si="12"/>
        <v>41.333333333333336</v>
      </c>
      <c r="N40" s="2">
        <f t="shared" si="12"/>
        <v>0</v>
      </c>
      <c r="O40" s="2">
        <f t="shared" si="12"/>
        <v>0.66666666666666674</v>
      </c>
      <c r="P40" s="2">
        <f t="shared" si="12"/>
        <v>0</v>
      </c>
      <c r="Q40" s="2">
        <f t="shared" si="12"/>
        <v>0</v>
      </c>
      <c r="R40" s="2">
        <f t="shared" si="12"/>
        <v>0</v>
      </c>
      <c r="S40" s="2">
        <f t="shared" si="12"/>
        <v>0</v>
      </c>
      <c r="T40" s="2">
        <f t="shared" si="12"/>
        <v>0</v>
      </c>
      <c r="U40" s="2">
        <f t="shared" si="12"/>
        <v>0</v>
      </c>
      <c r="V40" s="2">
        <f t="shared" si="12"/>
        <v>0</v>
      </c>
      <c r="W40" s="2">
        <f t="shared" si="12"/>
        <v>0</v>
      </c>
      <c r="X40" s="2">
        <f t="shared" si="12"/>
        <v>0</v>
      </c>
      <c r="Y40" s="2">
        <f t="shared" si="12"/>
        <v>0</v>
      </c>
      <c r="Z40" s="2">
        <f t="shared" si="12"/>
        <v>0.66666666666666674</v>
      </c>
      <c r="AB40" s="2">
        <f t="shared" si="4"/>
        <v>100.00000000000001</v>
      </c>
    </row>
    <row r="41" spans="3:33">
      <c r="C41" t="s">
        <v>10</v>
      </c>
      <c r="D41" s="2">
        <f t="shared" ref="D41:Z41" si="13">D12/$AB12*100</f>
        <v>0</v>
      </c>
      <c r="E41" s="2">
        <f t="shared" si="13"/>
        <v>0.66666666666666674</v>
      </c>
      <c r="F41" s="2">
        <f t="shared" si="13"/>
        <v>0.66666666666666674</v>
      </c>
      <c r="G41" s="2">
        <f t="shared" si="13"/>
        <v>1.3333333333333335</v>
      </c>
      <c r="H41" s="2">
        <f t="shared" si="13"/>
        <v>16</v>
      </c>
      <c r="I41" s="2">
        <f t="shared" si="13"/>
        <v>10</v>
      </c>
      <c r="J41" s="2">
        <f t="shared" si="13"/>
        <v>0</v>
      </c>
      <c r="K41" s="2">
        <f t="shared" si="13"/>
        <v>2.666666666666667</v>
      </c>
      <c r="L41" s="2">
        <f t="shared" si="13"/>
        <v>6</v>
      </c>
      <c r="M41" s="2">
        <f t="shared" si="13"/>
        <v>0</v>
      </c>
      <c r="N41" s="3">
        <f t="shared" si="13"/>
        <v>30</v>
      </c>
      <c r="O41" s="2">
        <f t="shared" si="13"/>
        <v>0</v>
      </c>
      <c r="P41" s="2">
        <f t="shared" si="13"/>
        <v>8</v>
      </c>
      <c r="Q41" s="2">
        <f t="shared" si="13"/>
        <v>6</v>
      </c>
      <c r="R41" s="2">
        <f t="shared" si="13"/>
        <v>14.000000000000002</v>
      </c>
      <c r="S41" s="2">
        <f t="shared" si="13"/>
        <v>0</v>
      </c>
      <c r="T41" s="2">
        <f t="shared" si="13"/>
        <v>0</v>
      </c>
      <c r="U41" s="2">
        <f t="shared" si="13"/>
        <v>0</v>
      </c>
      <c r="V41" s="2">
        <f t="shared" si="13"/>
        <v>0.66666666666666674</v>
      </c>
      <c r="W41" s="2">
        <f t="shared" si="13"/>
        <v>2</v>
      </c>
      <c r="X41" s="2">
        <f t="shared" si="13"/>
        <v>0.66666666666666674</v>
      </c>
      <c r="Y41" s="2">
        <f t="shared" si="13"/>
        <v>1.3333333333333335</v>
      </c>
      <c r="Z41" s="2">
        <f t="shared" si="13"/>
        <v>0</v>
      </c>
      <c r="AB41" s="2">
        <f t="shared" si="4"/>
        <v>100.00000000000001</v>
      </c>
    </row>
    <row r="42" spans="3:33">
      <c r="C42" t="s">
        <v>11</v>
      </c>
      <c r="D42" s="2">
        <f t="shared" ref="D42:Z42" si="14">D13/$AB13*100</f>
        <v>9.3333333333333339</v>
      </c>
      <c r="E42" s="2">
        <f t="shared" si="14"/>
        <v>10.666666666666668</v>
      </c>
      <c r="F42" s="2">
        <f t="shared" si="14"/>
        <v>6</v>
      </c>
      <c r="G42" s="2">
        <f t="shared" si="14"/>
        <v>8</v>
      </c>
      <c r="H42" s="2">
        <f t="shared" si="14"/>
        <v>1.3333333333333335</v>
      </c>
      <c r="I42" s="2">
        <f t="shared" si="14"/>
        <v>0.66666666666666674</v>
      </c>
      <c r="J42" s="2">
        <f t="shared" si="14"/>
        <v>3.3333333333333335</v>
      </c>
      <c r="K42" s="2">
        <f t="shared" si="14"/>
        <v>0</v>
      </c>
      <c r="L42" s="2">
        <f t="shared" si="14"/>
        <v>7.333333333333333</v>
      </c>
      <c r="M42" s="2">
        <f t="shared" si="14"/>
        <v>0</v>
      </c>
      <c r="N42" s="2">
        <f t="shared" si="14"/>
        <v>2.666666666666667</v>
      </c>
      <c r="O42" s="3">
        <f t="shared" si="14"/>
        <v>36</v>
      </c>
      <c r="P42" s="2">
        <f t="shared" si="14"/>
        <v>6</v>
      </c>
      <c r="Q42" s="2">
        <f t="shared" si="14"/>
        <v>2</v>
      </c>
      <c r="R42" s="2">
        <f t="shared" si="14"/>
        <v>4</v>
      </c>
      <c r="S42" s="2">
        <f t="shared" si="14"/>
        <v>0.66666666666666674</v>
      </c>
      <c r="T42" s="2">
        <f t="shared" si="14"/>
        <v>0</v>
      </c>
      <c r="U42" s="2">
        <f t="shared" si="14"/>
        <v>0.66666666666666674</v>
      </c>
      <c r="V42" s="2">
        <f t="shared" si="14"/>
        <v>0.66666666666666674</v>
      </c>
      <c r="W42" s="2">
        <f t="shared" si="14"/>
        <v>0</v>
      </c>
      <c r="X42" s="2">
        <f t="shared" si="14"/>
        <v>0</v>
      </c>
      <c r="Y42" s="2">
        <f t="shared" si="14"/>
        <v>0</v>
      </c>
      <c r="Z42" s="2">
        <f t="shared" si="14"/>
        <v>0.66666666666666674</v>
      </c>
      <c r="AB42" s="2">
        <f t="shared" si="4"/>
        <v>100.00000000000003</v>
      </c>
    </row>
    <row r="43" spans="3:33">
      <c r="C43" t="s">
        <v>12</v>
      </c>
      <c r="D43" s="2">
        <f t="shared" ref="D43:Z43" si="15">D14/$AB14*100</f>
        <v>7.333333333333333</v>
      </c>
      <c r="E43" s="2">
        <f t="shared" si="15"/>
        <v>12</v>
      </c>
      <c r="F43" s="2">
        <f t="shared" si="15"/>
        <v>4.666666666666667</v>
      </c>
      <c r="G43" s="2">
        <f t="shared" si="15"/>
        <v>7.333333333333333</v>
      </c>
      <c r="H43" s="2">
        <f t="shared" si="15"/>
        <v>4</v>
      </c>
      <c r="I43" s="2">
        <f t="shared" si="15"/>
        <v>3.3333333333333335</v>
      </c>
      <c r="J43" s="2">
        <f t="shared" si="15"/>
        <v>1.3333333333333335</v>
      </c>
      <c r="K43" s="2">
        <f t="shared" si="15"/>
        <v>0</v>
      </c>
      <c r="L43" s="2">
        <f t="shared" si="15"/>
        <v>8</v>
      </c>
      <c r="M43" s="2">
        <f t="shared" si="15"/>
        <v>0</v>
      </c>
      <c r="N43" s="2">
        <f t="shared" si="15"/>
        <v>1.3333333333333335</v>
      </c>
      <c r="O43" s="2">
        <f t="shared" si="15"/>
        <v>24</v>
      </c>
      <c r="P43" s="3">
        <f t="shared" si="15"/>
        <v>13.333333333333334</v>
      </c>
      <c r="Q43" s="2">
        <f t="shared" si="15"/>
        <v>2.666666666666667</v>
      </c>
      <c r="R43" s="2">
        <f t="shared" si="15"/>
        <v>6.666666666666667</v>
      </c>
      <c r="S43" s="2">
        <f t="shared" si="15"/>
        <v>2</v>
      </c>
      <c r="T43" s="2">
        <f t="shared" si="15"/>
        <v>0</v>
      </c>
      <c r="U43" s="2">
        <f t="shared" si="15"/>
        <v>0.66666666666666674</v>
      </c>
      <c r="V43" s="2">
        <f t="shared" si="15"/>
        <v>0</v>
      </c>
      <c r="W43" s="2">
        <f t="shared" si="15"/>
        <v>0</v>
      </c>
      <c r="X43" s="2">
        <f t="shared" si="15"/>
        <v>0</v>
      </c>
      <c r="Y43" s="2">
        <f t="shared" si="15"/>
        <v>0</v>
      </c>
      <c r="Z43" s="2">
        <f t="shared" si="15"/>
        <v>1.3333333333333335</v>
      </c>
      <c r="AB43" s="2">
        <f t="shared" si="4"/>
        <v>100.00000000000001</v>
      </c>
    </row>
    <row r="44" spans="3:33">
      <c r="C44" t="s">
        <v>13</v>
      </c>
      <c r="D44" s="2">
        <f t="shared" ref="D44:Z44" si="16">D15/$AB15*100</f>
        <v>0.66666666666666674</v>
      </c>
      <c r="E44" s="2">
        <f t="shared" si="16"/>
        <v>1.3333333333333335</v>
      </c>
      <c r="F44" s="2">
        <f t="shared" si="16"/>
        <v>0.66666666666666674</v>
      </c>
      <c r="G44" s="2">
        <f t="shared" si="16"/>
        <v>11.333333333333332</v>
      </c>
      <c r="H44" s="2">
        <f t="shared" si="16"/>
        <v>10</v>
      </c>
      <c r="I44" s="2">
        <f t="shared" si="16"/>
        <v>4.666666666666667</v>
      </c>
      <c r="J44" s="2">
        <f t="shared" si="16"/>
        <v>0</v>
      </c>
      <c r="K44" s="2">
        <f t="shared" si="16"/>
        <v>0</v>
      </c>
      <c r="L44" s="2">
        <f t="shared" si="16"/>
        <v>0</v>
      </c>
      <c r="M44" s="2">
        <f t="shared" si="16"/>
        <v>0.66666666666666674</v>
      </c>
      <c r="N44" s="2">
        <f t="shared" si="16"/>
        <v>2</v>
      </c>
      <c r="O44" s="2">
        <f t="shared" si="16"/>
        <v>2.666666666666667</v>
      </c>
      <c r="P44" s="2">
        <f t="shared" si="16"/>
        <v>11.333333333333332</v>
      </c>
      <c r="Q44" s="3">
        <f t="shared" si="16"/>
        <v>22.666666666666664</v>
      </c>
      <c r="R44" s="2">
        <f t="shared" si="16"/>
        <v>20.666666666666668</v>
      </c>
      <c r="S44" s="2">
        <f t="shared" si="16"/>
        <v>0</v>
      </c>
      <c r="T44" s="2">
        <f t="shared" si="16"/>
        <v>0.66666666666666674</v>
      </c>
      <c r="U44" s="2">
        <f t="shared" si="16"/>
        <v>0.66666666666666674</v>
      </c>
      <c r="V44" s="2">
        <f t="shared" si="16"/>
        <v>6</v>
      </c>
      <c r="W44" s="2">
        <f t="shared" si="16"/>
        <v>1.3333333333333335</v>
      </c>
      <c r="X44" s="2">
        <f t="shared" si="16"/>
        <v>1.3333333333333335</v>
      </c>
      <c r="Y44" s="2">
        <f t="shared" si="16"/>
        <v>0</v>
      </c>
      <c r="Z44" s="2">
        <f t="shared" si="16"/>
        <v>1.3333333333333335</v>
      </c>
      <c r="AB44" s="2">
        <f t="shared" si="4"/>
        <v>100</v>
      </c>
    </row>
    <row r="45" spans="3:33">
      <c r="C45" t="s">
        <v>14</v>
      </c>
      <c r="D45" s="2">
        <f t="shared" ref="D45:Z45" si="17">D16/$AB16*100</f>
        <v>2.666666666666667</v>
      </c>
      <c r="E45" s="2">
        <f t="shared" si="17"/>
        <v>1.3333333333333335</v>
      </c>
      <c r="F45" s="2">
        <f t="shared" si="17"/>
        <v>1.3333333333333335</v>
      </c>
      <c r="G45" s="2">
        <f t="shared" si="17"/>
        <v>4</v>
      </c>
      <c r="H45" s="2">
        <f t="shared" si="17"/>
        <v>8</v>
      </c>
      <c r="I45" s="2">
        <f t="shared" si="17"/>
        <v>4.666666666666667</v>
      </c>
      <c r="J45" s="2">
        <f t="shared" si="17"/>
        <v>2</v>
      </c>
      <c r="K45" s="2">
        <f t="shared" si="17"/>
        <v>0</v>
      </c>
      <c r="L45" s="2">
        <f t="shared" si="17"/>
        <v>2.666666666666667</v>
      </c>
      <c r="M45" s="2">
        <f t="shared" si="17"/>
        <v>0.66666666666666674</v>
      </c>
      <c r="N45" s="2">
        <f t="shared" si="17"/>
        <v>9.3333333333333339</v>
      </c>
      <c r="O45" s="2">
        <f t="shared" si="17"/>
        <v>1.3333333333333335</v>
      </c>
      <c r="P45" s="2">
        <f t="shared" si="17"/>
        <v>10.666666666666668</v>
      </c>
      <c r="Q45" s="2">
        <f t="shared" si="17"/>
        <v>10.666666666666668</v>
      </c>
      <c r="R45" s="3">
        <f t="shared" si="17"/>
        <v>30</v>
      </c>
      <c r="S45" s="2">
        <f t="shared" si="17"/>
        <v>0.66666666666666674</v>
      </c>
      <c r="T45" s="2">
        <f t="shared" si="17"/>
        <v>1.3333333333333335</v>
      </c>
      <c r="U45" s="2">
        <f t="shared" si="17"/>
        <v>1.3333333333333335</v>
      </c>
      <c r="V45" s="2">
        <f t="shared" si="17"/>
        <v>3.3333333333333335</v>
      </c>
      <c r="W45" s="2">
        <f t="shared" si="17"/>
        <v>2.666666666666667</v>
      </c>
      <c r="X45" s="2">
        <f t="shared" si="17"/>
        <v>0.66666666666666674</v>
      </c>
      <c r="Y45" s="2">
        <f t="shared" si="17"/>
        <v>0</v>
      </c>
      <c r="Z45" s="2">
        <f t="shared" si="17"/>
        <v>0.66666666666666674</v>
      </c>
      <c r="AB45" s="2">
        <f t="shared" si="4"/>
        <v>100.00000000000001</v>
      </c>
    </row>
    <row r="46" spans="3:33">
      <c r="C46" t="s">
        <v>15</v>
      </c>
      <c r="D46" s="2">
        <f t="shared" ref="D46:Z46" si="18">D17/$AB17*100</f>
        <v>19.333333333333332</v>
      </c>
      <c r="E46" s="2">
        <f t="shared" si="18"/>
        <v>28.000000000000004</v>
      </c>
      <c r="F46" s="2">
        <f t="shared" si="18"/>
        <v>22</v>
      </c>
      <c r="G46" s="2">
        <f t="shared" si="18"/>
        <v>0.66666666666666674</v>
      </c>
      <c r="H46" s="2">
        <f t="shared" si="18"/>
        <v>0</v>
      </c>
      <c r="I46" s="2">
        <f t="shared" si="18"/>
        <v>0</v>
      </c>
      <c r="J46" s="2">
        <f t="shared" si="18"/>
        <v>1.3333333333333335</v>
      </c>
      <c r="K46" s="2">
        <f t="shared" si="18"/>
        <v>0</v>
      </c>
      <c r="L46" s="2">
        <f t="shared" si="18"/>
        <v>0</v>
      </c>
      <c r="M46" s="2">
        <f t="shared" si="18"/>
        <v>0</v>
      </c>
      <c r="N46" s="2">
        <f t="shared" si="18"/>
        <v>0</v>
      </c>
      <c r="O46" s="2">
        <f t="shared" si="18"/>
        <v>3.3333333333333335</v>
      </c>
      <c r="P46" s="2">
        <f t="shared" si="18"/>
        <v>1.3333333333333335</v>
      </c>
      <c r="Q46" s="2">
        <f t="shared" si="18"/>
        <v>0.66666666666666674</v>
      </c>
      <c r="R46" s="2">
        <f t="shared" si="18"/>
        <v>0</v>
      </c>
      <c r="S46" s="3">
        <f t="shared" si="18"/>
        <v>12.666666666666668</v>
      </c>
      <c r="T46" s="2">
        <f t="shared" si="18"/>
        <v>1.3333333333333335</v>
      </c>
      <c r="U46" s="2">
        <f t="shared" si="18"/>
        <v>0</v>
      </c>
      <c r="V46" s="2">
        <f t="shared" si="18"/>
        <v>0</v>
      </c>
      <c r="W46" s="2">
        <f t="shared" si="18"/>
        <v>0</v>
      </c>
      <c r="X46" s="2">
        <f t="shared" si="18"/>
        <v>0</v>
      </c>
      <c r="Y46" s="2">
        <f t="shared" si="18"/>
        <v>0</v>
      </c>
      <c r="Z46" s="2">
        <f t="shared" si="18"/>
        <v>9.3333333333333339</v>
      </c>
      <c r="AB46" s="2">
        <f t="shared" si="4"/>
        <v>100</v>
      </c>
    </row>
    <row r="47" spans="3:33">
      <c r="C47" t="s">
        <v>16</v>
      </c>
      <c r="D47" s="2">
        <f t="shared" ref="D47:Z47" si="19">D18/$AB18*100</f>
        <v>0</v>
      </c>
      <c r="E47" s="2">
        <f t="shared" si="19"/>
        <v>0.66666666666666674</v>
      </c>
      <c r="F47" s="2">
        <f t="shared" si="19"/>
        <v>0.66666666666666674</v>
      </c>
      <c r="G47" s="2">
        <f t="shared" si="19"/>
        <v>0</v>
      </c>
      <c r="H47" s="2">
        <f t="shared" si="19"/>
        <v>0</v>
      </c>
      <c r="I47" s="2">
        <f t="shared" si="19"/>
        <v>0</v>
      </c>
      <c r="J47" s="2">
        <f t="shared" si="19"/>
        <v>0.66666666666666674</v>
      </c>
      <c r="K47" s="2">
        <f t="shared" si="19"/>
        <v>0</v>
      </c>
      <c r="L47" s="2">
        <f t="shared" si="19"/>
        <v>0</v>
      </c>
      <c r="M47" s="2">
        <f t="shared" si="19"/>
        <v>0</v>
      </c>
      <c r="N47" s="2">
        <f t="shared" si="19"/>
        <v>0</v>
      </c>
      <c r="O47" s="2">
        <f t="shared" si="19"/>
        <v>0</v>
      </c>
      <c r="P47" s="2">
        <f t="shared" si="19"/>
        <v>0</v>
      </c>
      <c r="Q47" s="2">
        <f t="shared" si="19"/>
        <v>0.66666666666666674</v>
      </c>
      <c r="R47" s="2">
        <f t="shared" si="19"/>
        <v>0</v>
      </c>
      <c r="S47" s="2">
        <f t="shared" si="19"/>
        <v>1.3333333333333335</v>
      </c>
      <c r="T47" s="3">
        <f t="shared" si="19"/>
        <v>78.666666666666657</v>
      </c>
      <c r="U47" s="2">
        <f t="shared" si="19"/>
        <v>17.333333333333336</v>
      </c>
      <c r="V47" s="2">
        <f t="shared" si="19"/>
        <v>0</v>
      </c>
      <c r="W47" s="2">
        <f t="shared" si="19"/>
        <v>0</v>
      </c>
      <c r="X47" s="2">
        <f t="shared" si="19"/>
        <v>0</v>
      </c>
      <c r="Y47" s="2">
        <f t="shared" si="19"/>
        <v>0</v>
      </c>
      <c r="Z47" s="2">
        <f t="shared" si="19"/>
        <v>0</v>
      </c>
      <c r="AB47" s="2">
        <f t="shared" si="4"/>
        <v>100</v>
      </c>
    </row>
    <row r="48" spans="3:33">
      <c r="C48" t="s">
        <v>17</v>
      </c>
      <c r="D48" s="2">
        <f t="shared" ref="D48:Z48" si="20">D19/$AB19*100</f>
        <v>0</v>
      </c>
      <c r="E48" s="2">
        <f t="shared" si="20"/>
        <v>0</v>
      </c>
      <c r="F48" s="2">
        <f t="shared" si="20"/>
        <v>0</v>
      </c>
      <c r="G48" s="2">
        <f t="shared" si="20"/>
        <v>0</v>
      </c>
      <c r="H48" s="2">
        <f t="shared" si="20"/>
        <v>0</v>
      </c>
      <c r="I48" s="2">
        <f t="shared" si="20"/>
        <v>0</v>
      </c>
      <c r="J48" s="2">
        <f t="shared" si="20"/>
        <v>0</v>
      </c>
      <c r="K48" s="2">
        <f t="shared" si="20"/>
        <v>0</v>
      </c>
      <c r="L48" s="2">
        <f t="shared" si="20"/>
        <v>1.3333333333333335</v>
      </c>
      <c r="M48" s="2">
        <f t="shared" si="20"/>
        <v>0</v>
      </c>
      <c r="N48" s="2">
        <f t="shared" si="20"/>
        <v>0</v>
      </c>
      <c r="O48" s="2">
        <f t="shared" si="20"/>
        <v>0</v>
      </c>
      <c r="P48" s="2">
        <f t="shared" si="20"/>
        <v>0</v>
      </c>
      <c r="Q48" s="2">
        <f t="shared" si="20"/>
        <v>0</v>
      </c>
      <c r="R48" s="2">
        <f t="shared" si="20"/>
        <v>0</v>
      </c>
      <c r="S48" s="2">
        <f t="shared" si="20"/>
        <v>0</v>
      </c>
      <c r="T48" s="2">
        <f t="shared" si="20"/>
        <v>13.333333333333334</v>
      </c>
      <c r="U48" s="3">
        <f t="shared" si="20"/>
        <v>84</v>
      </c>
      <c r="V48" s="2">
        <f t="shared" si="20"/>
        <v>0</v>
      </c>
      <c r="W48" s="2">
        <f t="shared" si="20"/>
        <v>0</v>
      </c>
      <c r="X48" s="2">
        <f t="shared" si="20"/>
        <v>0</v>
      </c>
      <c r="Y48" s="2">
        <f t="shared" si="20"/>
        <v>0.66666666666666674</v>
      </c>
      <c r="Z48" s="2">
        <f t="shared" si="20"/>
        <v>0.66666666666666674</v>
      </c>
      <c r="AB48" s="2">
        <f t="shared" si="4"/>
        <v>100.00000000000001</v>
      </c>
    </row>
    <row r="49" spans="1:28">
      <c r="C49" t="s">
        <v>18</v>
      </c>
      <c r="D49" s="2">
        <f t="shared" ref="D49:Z49" si="21">D20/$AB20*100</f>
        <v>2</v>
      </c>
      <c r="E49" s="2">
        <f t="shared" si="21"/>
        <v>0</v>
      </c>
      <c r="F49" s="2">
        <f t="shared" si="21"/>
        <v>0.66666666666666674</v>
      </c>
      <c r="G49" s="2">
        <f t="shared" si="21"/>
        <v>7.333333333333333</v>
      </c>
      <c r="H49" s="2">
        <f t="shared" si="21"/>
        <v>0.66666666666666674</v>
      </c>
      <c r="I49" s="2">
        <f t="shared" si="21"/>
        <v>2.666666666666667</v>
      </c>
      <c r="J49" s="2">
        <f t="shared" si="21"/>
        <v>0.66666666666666674</v>
      </c>
      <c r="K49" s="2">
        <f t="shared" si="21"/>
        <v>0.66666666666666674</v>
      </c>
      <c r="L49" s="2">
        <f t="shared" si="21"/>
        <v>0</v>
      </c>
      <c r="M49" s="2">
        <f t="shared" si="21"/>
        <v>0</v>
      </c>
      <c r="N49" s="2">
        <f t="shared" si="21"/>
        <v>0</v>
      </c>
      <c r="O49" s="2">
        <f t="shared" si="21"/>
        <v>3.3333333333333335</v>
      </c>
      <c r="P49" s="2">
        <f t="shared" si="21"/>
        <v>0</v>
      </c>
      <c r="Q49" s="2">
        <f t="shared" si="21"/>
        <v>0</v>
      </c>
      <c r="R49" s="2">
        <f t="shared" si="21"/>
        <v>0</v>
      </c>
      <c r="S49" s="2">
        <f t="shared" si="21"/>
        <v>1.3333333333333335</v>
      </c>
      <c r="T49" s="2">
        <f t="shared" si="21"/>
        <v>1.3333333333333335</v>
      </c>
      <c r="U49" s="2">
        <f t="shared" si="21"/>
        <v>2</v>
      </c>
      <c r="V49" s="3">
        <f t="shared" si="21"/>
        <v>71.333333333333343</v>
      </c>
      <c r="W49" s="2">
        <f t="shared" si="21"/>
        <v>2</v>
      </c>
      <c r="X49" s="2">
        <f t="shared" si="21"/>
        <v>0.66666666666666674</v>
      </c>
      <c r="Y49" s="2">
        <f t="shared" si="21"/>
        <v>1.3333333333333335</v>
      </c>
      <c r="Z49" s="2">
        <f t="shared" si="21"/>
        <v>2</v>
      </c>
      <c r="AB49" s="2">
        <f t="shared" si="4"/>
        <v>100</v>
      </c>
    </row>
    <row r="50" spans="1:28">
      <c r="C50" t="s">
        <v>19</v>
      </c>
      <c r="D50" s="2">
        <f t="shared" ref="D50:Z50" si="22">D21/$AB21*100</f>
        <v>0</v>
      </c>
      <c r="E50" s="2">
        <f t="shared" si="22"/>
        <v>0.66666666666666674</v>
      </c>
      <c r="F50" s="2">
        <f t="shared" si="22"/>
        <v>0.66666666666666674</v>
      </c>
      <c r="G50" s="2">
        <f t="shared" si="22"/>
        <v>1.3333333333333335</v>
      </c>
      <c r="H50" s="2">
        <f t="shared" si="22"/>
        <v>0.66666666666666674</v>
      </c>
      <c r="I50" s="2">
        <f t="shared" si="22"/>
        <v>4.666666666666667</v>
      </c>
      <c r="J50" s="2">
        <f t="shared" si="22"/>
        <v>0</v>
      </c>
      <c r="K50" s="2">
        <f t="shared" si="22"/>
        <v>0.66666666666666674</v>
      </c>
      <c r="L50" s="2">
        <f t="shared" si="22"/>
        <v>0</v>
      </c>
      <c r="M50" s="2">
        <f t="shared" si="22"/>
        <v>0</v>
      </c>
      <c r="N50" s="2">
        <f t="shared" si="22"/>
        <v>0.66666666666666674</v>
      </c>
      <c r="O50" s="2">
        <f t="shared" si="22"/>
        <v>0.66666666666666674</v>
      </c>
      <c r="P50" s="2">
        <f t="shared" si="22"/>
        <v>0</v>
      </c>
      <c r="Q50" s="2">
        <f t="shared" si="22"/>
        <v>0</v>
      </c>
      <c r="R50" s="2">
        <f t="shared" si="22"/>
        <v>0</v>
      </c>
      <c r="S50" s="2">
        <f t="shared" si="22"/>
        <v>0</v>
      </c>
      <c r="T50" s="2">
        <f t="shared" si="22"/>
        <v>0</v>
      </c>
      <c r="U50" s="2">
        <f t="shared" si="22"/>
        <v>0.66666666666666674</v>
      </c>
      <c r="V50" s="2">
        <f t="shared" si="22"/>
        <v>20</v>
      </c>
      <c r="W50" s="3">
        <f t="shared" si="22"/>
        <v>45.333333333333329</v>
      </c>
      <c r="X50" s="2">
        <f t="shared" si="22"/>
        <v>9.3333333333333339</v>
      </c>
      <c r="Y50" s="2">
        <f t="shared" si="22"/>
        <v>13.333333333333334</v>
      </c>
      <c r="Z50" s="2">
        <f t="shared" si="22"/>
        <v>1.3333333333333335</v>
      </c>
      <c r="AB50" s="2">
        <f t="shared" si="4"/>
        <v>99.999999999999986</v>
      </c>
    </row>
    <row r="51" spans="1:28">
      <c r="C51" t="s">
        <v>20</v>
      </c>
      <c r="D51" s="2">
        <f t="shared" ref="D51:Z51" si="23">D22/$AB22*100</f>
        <v>0</v>
      </c>
      <c r="E51" s="2">
        <f t="shared" si="23"/>
        <v>2.666666666666667</v>
      </c>
      <c r="F51" s="2">
        <f t="shared" si="23"/>
        <v>0.66666666666666674</v>
      </c>
      <c r="G51" s="2">
        <f t="shared" si="23"/>
        <v>1.3333333333333335</v>
      </c>
      <c r="H51" s="2">
        <f t="shared" si="23"/>
        <v>0.66666666666666674</v>
      </c>
      <c r="I51" s="2">
        <f t="shared" si="23"/>
        <v>1.3333333333333335</v>
      </c>
      <c r="J51" s="2">
        <f t="shared" si="23"/>
        <v>0.66666666666666674</v>
      </c>
      <c r="K51" s="2">
        <f t="shared" si="23"/>
        <v>0.66666666666666674</v>
      </c>
      <c r="L51" s="2">
        <f t="shared" si="23"/>
        <v>0.66666666666666674</v>
      </c>
      <c r="M51" s="2">
        <f t="shared" si="23"/>
        <v>0</v>
      </c>
      <c r="N51" s="2">
        <f t="shared" si="23"/>
        <v>0.66666666666666674</v>
      </c>
      <c r="O51" s="2">
        <f t="shared" si="23"/>
        <v>0.66666666666666674</v>
      </c>
      <c r="P51" s="2">
        <f t="shared" si="23"/>
        <v>0</v>
      </c>
      <c r="Q51" s="2">
        <f t="shared" si="23"/>
        <v>0.66666666666666674</v>
      </c>
      <c r="R51" s="2">
        <f t="shared" si="23"/>
        <v>1.3333333333333335</v>
      </c>
      <c r="S51" s="2">
        <f t="shared" si="23"/>
        <v>1.3333333333333335</v>
      </c>
      <c r="T51" s="2">
        <f t="shared" si="23"/>
        <v>0.66666666666666674</v>
      </c>
      <c r="U51" s="2">
        <f t="shared" si="23"/>
        <v>0</v>
      </c>
      <c r="V51" s="2">
        <f t="shared" si="23"/>
        <v>9.3333333333333339</v>
      </c>
      <c r="W51" s="2">
        <f t="shared" si="23"/>
        <v>14.666666666666666</v>
      </c>
      <c r="X51" s="3">
        <f t="shared" si="23"/>
        <v>50</v>
      </c>
      <c r="Y51" s="2">
        <f t="shared" si="23"/>
        <v>11.333333333333332</v>
      </c>
      <c r="Z51" s="2">
        <f t="shared" si="23"/>
        <v>0.66666666666666674</v>
      </c>
      <c r="AB51" s="2">
        <f t="shared" si="4"/>
        <v>100</v>
      </c>
    </row>
    <row r="52" spans="1:28">
      <c r="C52" t="s">
        <v>21</v>
      </c>
      <c r="D52" s="2">
        <f t="shared" ref="D52:Z52" si="24">D23/$AB23*100</f>
        <v>0</v>
      </c>
      <c r="E52" s="2">
        <f t="shared" si="24"/>
        <v>0</v>
      </c>
      <c r="F52" s="2">
        <f t="shared" si="24"/>
        <v>0</v>
      </c>
      <c r="G52" s="2">
        <f t="shared" si="24"/>
        <v>1.3333333333333335</v>
      </c>
      <c r="H52" s="2">
        <f t="shared" si="24"/>
        <v>0.66666666666666674</v>
      </c>
      <c r="I52" s="2">
        <f t="shared" si="24"/>
        <v>3.3333333333333335</v>
      </c>
      <c r="J52" s="2">
        <f t="shared" si="24"/>
        <v>0</v>
      </c>
      <c r="K52" s="2">
        <f t="shared" si="24"/>
        <v>0</v>
      </c>
      <c r="L52" s="2">
        <f t="shared" si="24"/>
        <v>0.66666666666666674</v>
      </c>
      <c r="M52" s="2">
        <f t="shared" si="24"/>
        <v>0</v>
      </c>
      <c r="N52" s="2">
        <f t="shared" si="24"/>
        <v>0.66666666666666674</v>
      </c>
      <c r="O52" s="2">
        <f t="shared" si="24"/>
        <v>0</v>
      </c>
      <c r="P52" s="2">
        <f t="shared" si="24"/>
        <v>0</v>
      </c>
      <c r="Q52" s="2">
        <f t="shared" si="24"/>
        <v>2</v>
      </c>
      <c r="R52" s="2">
        <f t="shared" si="24"/>
        <v>0</v>
      </c>
      <c r="S52" s="2">
        <f t="shared" si="24"/>
        <v>0.66666666666666674</v>
      </c>
      <c r="T52" s="2">
        <f t="shared" si="24"/>
        <v>2</v>
      </c>
      <c r="U52" s="2">
        <f t="shared" si="24"/>
        <v>0.66666666666666674</v>
      </c>
      <c r="V52" s="2">
        <f t="shared" si="24"/>
        <v>2</v>
      </c>
      <c r="W52" s="2">
        <f t="shared" si="24"/>
        <v>4</v>
      </c>
      <c r="X52" s="2">
        <f t="shared" si="24"/>
        <v>3.3333333333333335</v>
      </c>
      <c r="Y52" s="3">
        <f t="shared" si="24"/>
        <v>72</v>
      </c>
      <c r="Z52" s="2">
        <f t="shared" si="24"/>
        <v>6.666666666666667</v>
      </c>
      <c r="AB52" s="2">
        <f t="shared" si="4"/>
        <v>100</v>
      </c>
    </row>
    <row r="53" spans="1:28">
      <c r="C53" t="s">
        <v>22</v>
      </c>
      <c r="D53" s="2">
        <f t="shared" ref="D53:Z53" si="25">D24/$AB24*100</f>
        <v>2</v>
      </c>
      <c r="E53" s="2">
        <f t="shared" si="25"/>
        <v>3.3333333333333335</v>
      </c>
      <c r="F53" s="2">
        <f t="shared" si="25"/>
        <v>6.666666666666667</v>
      </c>
      <c r="G53" s="2">
        <f t="shared" si="25"/>
        <v>2</v>
      </c>
      <c r="H53" s="2">
        <f t="shared" si="25"/>
        <v>0.66666666666666674</v>
      </c>
      <c r="I53" s="2">
        <f t="shared" si="25"/>
        <v>0.66666666666666674</v>
      </c>
      <c r="J53" s="2">
        <f t="shared" si="25"/>
        <v>0</v>
      </c>
      <c r="K53" s="2">
        <f t="shared" si="25"/>
        <v>0.66666666666666674</v>
      </c>
      <c r="L53" s="2">
        <f t="shared" si="25"/>
        <v>0</v>
      </c>
      <c r="M53" s="2">
        <f t="shared" si="25"/>
        <v>0</v>
      </c>
      <c r="N53" s="2">
        <f t="shared" si="25"/>
        <v>0</v>
      </c>
      <c r="O53" s="2">
        <f t="shared" si="25"/>
        <v>2.666666666666667</v>
      </c>
      <c r="P53" s="2">
        <f t="shared" si="25"/>
        <v>1.3333333333333335</v>
      </c>
      <c r="Q53" s="2">
        <f t="shared" si="25"/>
        <v>0.66666666666666674</v>
      </c>
      <c r="R53" s="2">
        <f t="shared" si="25"/>
        <v>1.3333333333333335</v>
      </c>
      <c r="S53" s="2">
        <f t="shared" si="25"/>
        <v>7.333333333333333</v>
      </c>
      <c r="T53" s="2">
        <f t="shared" si="25"/>
        <v>0.66666666666666674</v>
      </c>
      <c r="U53" s="2">
        <f t="shared" si="25"/>
        <v>1.3333333333333335</v>
      </c>
      <c r="V53" s="2">
        <f t="shared" si="25"/>
        <v>2</v>
      </c>
      <c r="W53" s="2">
        <f t="shared" si="25"/>
        <v>2</v>
      </c>
      <c r="X53" s="2">
        <f t="shared" si="25"/>
        <v>0.66666666666666674</v>
      </c>
      <c r="Y53" s="2">
        <f t="shared" si="25"/>
        <v>1.3333333333333335</v>
      </c>
      <c r="Z53" s="3">
        <f t="shared" si="25"/>
        <v>62.666666666666671</v>
      </c>
      <c r="AB53" s="2">
        <f t="shared" si="4"/>
        <v>100</v>
      </c>
    </row>
    <row r="58" spans="1:28">
      <c r="A58" s="9" t="s">
        <v>25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</row>
    <row r="60" spans="1:28"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  <c r="X60">
        <v>24</v>
      </c>
      <c r="Y60">
        <v>25</v>
      </c>
      <c r="Z60">
        <v>26</v>
      </c>
    </row>
    <row r="61" spans="1:28">
      <c r="D61">
        <v>31</v>
      </c>
      <c r="E61">
        <v>32</v>
      </c>
      <c r="F61">
        <v>33</v>
      </c>
      <c r="G61">
        <v>34</v>
      </c>
      <c r="H61">
        <v>35</v>
      </c>
      <c r="I61">
        <v>36</v>
      </c>
      <c r="J61">
        <v>37</v>
      </c>
      <c r="K61">
        <v>38</v>
      </c>
      <c r="L61">
        <v>39</v>
      </c>
      <c r="M61">
        <v>40</v>
      </c>
      <c r="N61">
        <v>41</v>
      </c>
      <c r="O61">
        <v>42</v>
      </c>
      <c r="P61">
        <v>43</v>
      </c>
      <c r="Q61">
        <v>44</v>
      </c>
      <c r="R61">
        <v>45</v>
      </c>
      <c r="S61">
        <v>46</v>
      </c>
      <c r="T61">
        <v>47</v>
      </c>
      <c r="U61">
        <v>48</v>
      </c>
      <c r="V61">
        <v>49</v>
      </c>
      <c r="W61">
        <v>50</v>
      </c>
      <c r="X61">
        <v>51</v>
      </c>
      <c r="Y61">
        <v>52</v>
      </c>
      <c r="Z61">
        <v>53</v>
      </c>
    </row>
    <row r="63" spans="1:28">
      <c r="C63" s="1" t="s">
        <v>23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  <c r="P63" t="s">
        <v>12</v>
      </c>
      <c r="Q63" t="s">
        <v>13</v>
      </c>
      <c r="R63" t="s">
        <v>14</v>
      </c>
      <c r="S63" t="s">
        <v>15</v>
      </c>
      <c r="T63" t="s">
        <v>16</v>
      </c>
      <c r="U63" t="s">
        <v>17</v>
      </c>
      <c r="V63" t="s">
        <v>18</v>
      </c>
      <c r="W63" t="s">
        <v>19</v>
      </c>
      <c r="X63" t="s">
        <v>20</v>
      </c>
      <c r="Y63" t="s">
        <v>21</v>
      </c>
      <c r="Z63" t="s">
        <v>22</v>
      </c>
    </row>
    <row r="64" spans="1:28">
      <c r="A64">
        <v>31</v>
      </c>
      <c r="B64">
        <v>4</v>
      </c>
      <c r="C64" t="s">
        <v>0</v>
      </c>
      <c r="D64" s="3">
        <f ca="1">AVERAGE(INDIRECT((ADDRESS($A64,D$60))),INDIRECT((ADDRESS(D$61,$B64))))</f>
        <v>26.666666666666668</v>
      </c>
      <c r="E64" s="2">
        <f t="shared" ref="E64:Z75" ca="1" si="26">AVERAGE(INDIRECT((ADDRESS($A64,E$60))),INDIRECT((ADDRESS(E$61,$B64))))</f>
        <v>19.666666666666664</v>
      </c>
      <c r="F64" s="2">
        <f t="shared" ca="1" si="26"/>
        <v>14</v>
      </c>
      <c r="G64" s="2">
        <f t="shared" ca="1" si="26"/>
        <v>3.666666666666667</v>
      </c>
      <c r="H64" s="2">
        <f t="shared" ca="1" si="26"/>
        <v>0.33333333333333337</v>
      </c>
      <c r="I64" s="2">
        <f t="shared" ca="1" si="26"/>
        <v>0.33333333333333337</v>
      </c>
      <c r="J64" s="2">
        <f t="shared" ca="1" si="26"/>
        <v>0.33333333333333337</v>
      </c>
      <c r="K64" s="2">
        <f t="shared" ca="1" si="26"/>
        <v>0</v>
      </c>
      <c r="L64" s="2">
        <f t="shared" ca="1" si="26"/>
        <v>1.3333333333333335</v>
      </c>
      <c r="M64" s="2">
        <f t="shared" ca="1" si="26"/>
        <v>0.33333333333333337</v>
      </c>
      <c r="N64" s="2">
        <f t="shared" ca="1" si="26"/>
        <v>0</v>
      </c>
      <c r="O64" s="2">
        <f t="shared" ca="1" si="26"/>
        <v>6.3333333333333339</v>
      </c>
      <c r="P64" s="2">
        <f t="shared" ca="1" si="26"/>
        <v>4</v>
      </c>
      <c r="Q64" s="5">
        <f t="shared" ca="1" si="26"/>
        <v>1.3333333333333335</v>
      </c>
      <c r="R64" s="5">
        <f t="shared" ca="1" si="26"/>
        <v>1.3333333333333335</v>
      </c>
      <c r="S64" s="5">
        <f t="shared" ca="1" si="26"/>
        <v>11.333333333333332</v>
      </c>
      <c r="T64" s="5">
        <f t="shared" ca="1" si="26"/>
        <v>0</v>
      </c>
      <c r="U64" s="5">
        <f t="shared" ca="1" si="26"/>
        <v>0</v>
      </c>
      <c r="V64" s="5">
        <f t="shared" ca="1" si="26"/>
        <v>1.3333333333333335</v>
      </c>
      <c r="W64" s="5">
        <f t="shared" ca="1" si="26"/>
        <v>0</v>
      </c>
      <c r="X64" s="5">
        <f t="shared" ca="1" si="26"/>
        <v>0</v>
      </c>
      <c r="Y64" s="5">
        <f t="shared" ca="1" si="26"/>
        <v>0</v>
      </c>
      <c r="Z64" s="5">
        <f t="shared" ca="1" si="26"/>
        <v>3</v>
      </c>
    </row>
    <row r="65" spans="1:26">
      <c r="A65">
        <v>32</v>
      </c>
      <c r="B65">
        <v>5</v>
      </c>
      <c r="C65" t="s">
        <v>1</v>
      </c>
      <c r="D65" s="2">
        <f t="shared" ref="D65:S86" ca="1" si="27">AVERAGE(INDIRECT((ADDRESS($A65,D$60))),INDIRECT((ADDRESS(D$61,$B65))))</f>
        <v>19.666666666666664</v>
      </c>
      <c r="E65" s="3">
        <f t="shared" ca="1" si="26"/>
        <v>68.666666666666671</v>
      </c>
      <c r="F65" s="2">
        <f t="shared" ca="1" si="26"/>
        <v>14.666666666666668</v>
      </c>
      <c r="G65" s="2">
        <f t="shared" ca="1" si="26"/>
        <v>2</v>
      </c>
      <c r="H65" s="2">
        <f t="shared" ca="1" si="26"/>
        <v>3</v>
      </c>
      <c r="I65" s="2">
        <f t="shared" ca="1" si="26"/>
        <v>0</v>
      </c>
      <c r="J65" s="2">
        <f t="shared" ca="1" si="26"/>
        <v>3.3333333333333335</v>
      </c>
      <c r="K65" s="2">
        <f t="shared" ca="1" si="26"/>
        <v>0.33333333333333337</v>
      </c>
      <c r="L65" s="2">
        <f t="shared" ca="1" si="26"/>
        <v>6.333333333333333</v>
      </c>
      <c r="M65" s="2">
        <f t="shared" ca="1" si="26"/>
        <v>0</v>
      </c>
      <c r="N65" s="2">
        <f t="shared" ca="1" si="26"/>
        <v>0.33333333333333337</v>
      </c>
      <c r="O65" s="2">
        <f t="shared" ca="1" si="26"/>
        <v>5.3333333333333339</v>
      </c>
      <c r="P65" s="2">
        <f t="shared" ca="1" si="26"/>
        <v>6.333333333333333</v>
      </c>
      <c r="Q65" s="5">
        <f t="shared" ca="1" si="26"/>
        <v>0.66666666666666674</v>
      </c>
      <c r="R65" s="5">
        <f t="shared" ca="1" si="26"/>
        <v>1.3333333333333335</v>
      </c>
      <c r="S65" s="5">
        <f t="shared" ca="1" si="26"/>
        <v>14.333333333333336</v>
      </c>
      <c r="T65" s="5">
        <f t="shared" ca="1" si="26"/>
        <v>0.33333333333333337</v>
      </c>
      <c r="U65" s="5">
        <f t="shared" ca="1" si="26"/>
        <v>0.33333333333333337</v>
      </c>
      <c r="V65" s="5">
        <f t="shared" ca="1" si="26"/>
        <v>0</v>
      </c>
      <c r="W65" s="5">
        <f t="shared" ca="1" si="26"/>
        <v>1.3333333333333335</v>
      </c>
      <c r="X65" s="5">
        <f t="shared" ca="1" si="26"/>
        <v>1.3333333333333335</v>
      </c>
      <c r="Y65" s="5">
        <f t="shared" ca="1" si="26"/>
        <v>0</v>
      </c>
      <c r="Z65" s="5">
        <f t="shared" ca="1" si="26"/>
        <v>3</v>
      </c>
    </row>
    <row r="66" spans="1:26">
      <c r="A66">
        <v>33</v>
      </c>
      <c r="B66">
        <v>6</v>
      </c>
      <c r="C66" t="s">
        <v>2</v>
      </c>
      <c r="D66" s="2">
        <f t="shared" ca="1" si="27"/>
        <v>14</v>
      </c>
      <c r="E66" s="2">
        <f t="shared" ca="1" si="26"/>
        <v>14.666666666666668</v>
      </c>
      <c r="F66" s="3">
        <f t="shared" ca="1" si="26"/>
        <v>68</v>
      </c>
      <c r="G66" s="2">
        <f t="shared" ca="1" si="26"/>
        <v>3.666666666666667</v>
      </c>
      <c r="H66" s="2">
        <f t="shared" ca="1" si="26"/>
        <v>0.33333333333333337</v>
      </c>
      <c r="I66" s="2">
        <f t="shared" ca="1" si="26"/>
        <v>0.33333333333333337</v>
      </c>
      <c r="J66" s="2">
        <f t="shared" ca="1" si="26"/>
        <v>1.666666666666667</v>
      </c>
      <c r="K66" s="2">
        <f t="shared" ca="1" si="26"/>
        <v>0.33333333333333337</v>
      </c>
      <c r="L66" s="2">
        <f t="shared" ca="1" si="26"/>
        <v>0.33333333333333337</v>
      </c>
      <c r="M66" s="2">
        <f t="shared" ca="1" si="26"/>
        <v>0</v>
      </c>
      <c r="N66" s="2">
        <f t="shared" ca="1" si="26"/>
        <v>0.33333333333333337</v>
      </c>
      <c r="O66" s="2">
        <f t="shared" ca="1" si="26"/>
        <v>3</v>
      </c>
      <c r="P66" s="2">
        <f t="shared" ca="1" si="26"/>
        <v>2.666666666666667</v>
      </c>
      <c r="Q66" s="5">
        <f t="shared" ca="1" si="26"/>
        <v>0.33333333333333337</v>
      </c>
      <c r="R66" s="5">
        <f t="shared" ca="1" si="26"/>
        <v>0.66666666666666674</v>
      </c>
      <c r="S66" s="5">
        <f t="shared" ca="1" si="26"/>
        <v>11.333333333333334</v>
      </c>
      <c r="T66" s="5">
        <f t="shared" ca="1" si="26"/>
        <v>0.33333333333333337</v>
      </c>
      <c r="U66" s="5">
        <f t="shared" ca="1" si="26"/>
        <v>0</v>
      </c>
      <c r="V66" s="5">
        <f t="shared" ca="1" si="26"/>
        <v>0.33333333333333337</v>
      </c>
      <c r="W66" s="5">
        <f t="shared" ca="1" si="26"/>
        <v>0.66666666666666674</v>
      </c>
      <c r="X66" s="5">
        <f t="shared" ca="1" si="26"/>
        <v>0.33333333333333337</v>
      </c>
      <c r="Y66" s="5">
        <f t="shared" ca="1" si="26"/>
        <v>0</v>
      </c>
      <c r="Z66" s="5">
        <f t="shared" ca="1" si="26"/>
        <v>4.3333333333333339</v>
      </c>
    </row>
    <row r="67" spans="1:26">
      <c r="A67">
        <v>34</v>
      </c>
      <c r="B67">
        <v>7</v>
      </c>
      <c r="C67" t="s">
        <v>3</v>
      </c>
      <c r="D67" s="2">
        <f t="shared" ca="1" si="27"/>
        <v>3.666666666666667</v>
      </c>
      <c r="E67" s="2">
        <f t="shared" ca="1" si="26"/>
        <v>2</v>
      </c>
      <c r="F67" s="2">
        <f t="shared" ca="1" si="26"/>
        <v>3.666666666666667</v>
      </c>
      <c r="G67" s="3">
        <f t="shared" ca="1" si="26"/>
        <v>26</v>
      </c>
      <c r="H67" s="2">
        <f t="shared" ca="1" si="26"/>
        <v>11.333333333333334</v>
      </c>
      <c r="I67" s="2">
        <f t="shared" ca="1" si="26"/>
        <v>5.666666666666667</v>
      </c>
      <c r="J67" s="2">
        <f t="shared" ca="1" si="26"/>
        <v>0.33333333333333337</v>
      </c>
      <c r="K67" s="2">
        <f t="shared" ca="1" si="26"/>
        <v>0.33333333333333337</v>
      </c>
      <c r="L67" s="2">
        <f t="shared" ca="1" si="26"/>
        <v>1.6666666666666667</v>
      </c>
      <c r="M67" s="2">
        <f t="shared" ca="1" si="26"/>
        <v>0</v>
      </c>
      <c r="N67" s="2">
        <f t="shared" ca="1" si="26"/>
        <v>0.66666666666666674</v>
      </c>
      <c r="O67" s="2">
        <f t="shared" ca="1" si="26"/>
        <v>7.6666666666666661</v>
      </c>
      <c r="P67" s="2">
        <f t="shared" ca="1" si="26"/>
        <v>4.6666666666666661</v>
      </c>
      <c r="Q67" s="5">
        <f t="shared" ca="1" si="26"/>
        <v>8.6666666666666661</v>
      </c>
      <c r="R67" s="5">
        <f t="shared" ca="1" si="26"/>
        <v>6</v>
      </c>
      <c r="S67" s="5">
        <f t="shared" ca="1" si="26"/>
        <v>0.33333333333333337</v>
      </c>
      <c r="T67" s="5">
        <f t="shared" ca="1" si="26"/>
        <v>0</v>
      </c>
      <c r="U67" s="5">
        <f t="shared" ca="1" si="26"/>
        <v>0</v>
      </c>
      <c r="V67" s="5">
        <f t="shared" ca="1" si="26"/>
        <v>4.6666666666666661</v>
      </c>
      <c r="W67" s="5">
        <f t="shared" ca="1" si="26"/>
        <v>1</v>
      </c>
      <c r="X67" s="5">
        <f t="shared" ca="1" si="26"/>
        <v>1</v>
      </c>
      <c r="Y67" s="5">
        <f t="shared" ca="1" si="26"/>
        <v>1</v>
      </c>
      <c r="Z67" s="5">
        <f t="shared" ca="1" si="26"/>
        <v>2.3333333333333335</v>
      </c>
    </row>
    <row r="68" spans="1:26">
      <c r="A68">
        <v>35</v>
      </c>
      <c r="B68">
        <v>8</v>
      </c>
      <c r="C68" t="s">
        <v>4</v>
      </c>
      <c r="D68" s="2">
        <f t="shared" ca="1" si="27"/>
        <v>0.33333333333333337</v>
      </c>
      <c r="E68" s="2">
        <f t="shared" ca="1" si="26"/>
        <v>3</v>
      </c>
      <c r="F68" s="2">
        <f t="shared" ca="1" si="26"/>
        <v>0.33333333333333337</v>
      </c>
      <c r="G68" s="2">
        <f t="shared" ca="1" si="26"/>
        <v>11.333333333333334</v>
      </c>
      <c r="H68" s="3">
        <f t="shared" ca="1" si="26"/>
        <v>76</v>
      </c>
      <c r="I68" s="2">
        <f t="shared" ca="1" si="26"/>
        <v>8.6666666666666679</v>
      </c>
      <c r="J68" s="2">
        <f t="shared" ca="1" si="26"/>
        <v>0.66666666666666674</v>
      </c>
      <c r="K68" s="2">
        <f t="shared" ca="1" si="26"/>
        <v>2</v>
      </c>
      <c r="L68" s="2">
        <f t="shared" ca="1" si="26"/>
        <v>3.3333333333333335</v>
      </c>
      <c r="M68" s="2">
        <f t="shared" ca="1" si="26"/>
        <v>0</v>
      </c>
      <c r="N68" s="2">
        <f t="shared" ca="1" si="26"/>
        <v>8.3333333333333339</v>
      </c>
      <c r="O68" s="2">
        <f t="shared" ca="1" si="26"/>
        <v>1</v>
      </c>
      <c r="P68" s="2">
        <f t="shared" ca="1" si="26"/>
        <v>3.666666666666667</v>
      </c>
      <c r="Q68" s="5">
        <f t="shared" ca="1" si="26"/>
        <v>5</v>
      </c>
      <c r="R68" s="5">
        <f t="shared" ca="1" si="26"/>
        <v>5.3333333333333339</v>
      </c>
      <c r="S68" s="5">
        <f t="shared" ca="1" si="26"/>
        <v>0</v>
      </c>
      <c r="T68" s="5">
        <f t="shared" ca="1" si="26"/>
        <v>0</v>
      </c>
      <c r="U68" s="5">
        <f t="shared" ca="1" si="26"/>
        <v>0</v>
      </c>
      <c r="V68" s="5">
        <f t="shared" ca="1" si="26"/>
        <v>0.33333333333333337</v>
      </c>
      <c r="W68" s="5">
        <f t="shared" ca="1" si="26"/>
        <v>0.33333333333333337</v>
      </c>
      <c r="X68" s="5">
        <f t="shared" ca="1" si="26"/>
        <v>0.33333333333333337</v>
      </c>
      <c r="Y68" s="5">
        <f t="shared" ca="1" si="26"/>
        <v>0.33333333333333337</v>
      </c>
      <c r="Z68" s="5">
        <f t="shared" ca="1" si="26"/>
        <v>0.66666666666666674</v>
      </c>
    </row>
    <row r="69" spans="1:26">
      <c r="A69">
        <v>36</v>
      </c>
      <c r="B69">
        <v>9</v>
      </c>
      <c r="C69" t="s">
        <v>5</v>
      </c>
      <c r="D69" s="2">
        <f t="shared" ca="1" si="27"/>
        <v>0.33333333333333337</v>
      </c>
      <c r="E69" s="2">
        <f t="shared" ca="1" si="26"/>
        <v>0</v>
      </c>
      <c r="F69" s="2">
        <f t="shared" ca="1" si="26"/>
        <v>0.33333333333333337</v>
      </c>
      <c r="G69" s="2">
        <f t="shared" ca="1" si="26"/>
        <v>5.666666666666667</v>
      </c>
      <c r="H69" s="2">
        <f t="shared" ca="1" si="26"/>
        <v>8.6666666666666679</v>
      </c>
      <c r="I69" s="3">
        <f t="shared" ca="1" si="26"/>
        <v>49.333333333333336</v>
      </c>
      <c r="J69" s="2">
        <f t="shared" ca="1" si="26"/>
        <v>0</v>
      </c>
      <c r="K69" s="2">
        <f t="shared" ca="1" si="26"/>
        <v>4.3333333333333339</v>
      </c>
      <c r="L69" s="2">
        <f t="shared" ca="1" si="26"/>
        <v>1</v>
      </c>
      <c r="M69" s="2">
        <f t="shared" ca="1" si="26"/>
        <v>0</v>
      </c>
      <c r="N69" s="2">
        <f t="shared" ca="1" si="26"/>
        <v>5</v>
      </c>
      <c r="O69" s="2">
        <f t="shared" ca="1" si="26"/>
        <v>0.66666666666666674</v>
      </c>
      <c r="P69" s="2">
        <f t="shared" ca="1" si="26"/>
        <v>1.6666666666666667</v>
      </c>
      <c r="Q69" s="5">
        <f t="shared" ca="1" si="26"/>
        <v>5</v>
      </c>
      <c r="R69" s="5">
        <f t="shared" ca="1" si="26"/>
        <v>2.666666666666667</v>
      </c>
      <c r="S69" s="5">
        <f t="shared" ca="1" si="26"/>
        <v>0.66666666666666674</v>
      </c>
      <c r="T69" s="5">
        <f t="shared" ca="1" si="26"/>
        <v>0</v>
      </c>
      <c r="U69" s="5">
        <f t="shared" ca="1" si="26"/>
        <v>0</v>
      </c>
      <c r="V69" s="5">
        <f t="shared" ca="1" si="26"/>
        <v>1.3333333333333335</v>
      </c>
      <c r="W69" s="5">
        <f t="shared" ca="1" si="26"/>
        <v>3</v>
      </c>
      <c r="X69" s="5">
        <f t="shared" ca="1" si="26"/>
        <v>2.3333333333333335</v>
      </c>
      <c r="Y69" s="5">
        <f t="shared" ca="1" si="26"/>
        <v>7.333333333333333</v>
      </c>
      <c r="Z69" s="5">
        <f t="shared" ca="1" si="26"/>
        <v>1.666666666666667</v>
      </c>
    </row>
    <row r="70" spans="1:26">
      <c r="A70">
        <v>37</v>
      </c>
      <c r="B70">
        <v>10</v>
      </c>
      <c r="C70" t="s">
        <v>6</v>
      </c>
      <c r="D70" s="2">
        <f t="shared" ca="1" si="27"/>
        <v>0.33333333333333337</v>
      </c>
      <c r="E70" s="2">
        <f t="shared" ca="1" si="26"/>
        <v>3.3333333333333335</v>
      </c>
      <c r="F70" s="2">
        <f t="shared" ca="1" si="26"/>
        <v>1.666666666666667</v>
      </c>
      <c r="G70" s="2">
        <f t="shared" ca="1" si="26"/>
        <v>0.33333333333333337</v>
      </c>
      <c r="H70" s="2">
        <f t="shared" ca="1" si="26"/>
        <v>0.66666666666666674</v>
      </c>
      <c r="I70" s="2">
        <f t="shared" ca="1" si="26"/>
        <v>0</v>
      </c>
      <c r="J70" s="3">
        <f t="shared" ca="1" si="26"/>
        <v>92</v>
      </c>
      <c r="K70" s="2">
        <f t="shared" ca="1" si="26"/>
        <v>1.3333333333333335</v>
      </c>
      <c r="L70" s="2">
        <f t="shared" ca="1" si="26"/>
        <v>3</v>
      </c>
      <c r="M70" s="2">
        <f t="shared" ca="1" si="26"/>
        <v>27.333333333333336</v>
      </c>
      <c r="N70" s="2">
        <f t="shared" ca="1" si="26"/>
        <v>0</v>
      </c>
      <c r="O70" s="2">
        <f t="shared" ca="1" si="26"/>
        <v>1.6666666666666667</v>
      </c>
      <c r="P70" s="2">
        <f t="shared" ca="1" si="26"/>
        <v>0.66666666666666674</v>
      </c>
      <c r="Q70" s="5">
        <f t="shared" ca="1" si="26"/>
        <v>0</v>
      </c>
      <c r="R70" s="5">
        <f t="shared" ca="1" si="26"/>
        <v>1</v>
      </c>
      <c r="S70" s="5">
        <f t="shared" ca="1" si="26"/>
        <v>0.66666666666666674</v>
      </c>
      <c r="T70" s="5">
        <f t="shared" ca="1" si="26"/>
        <v>0.66666666666666674</v>
      </c>
      <c r="U70" s="5">
        <f t="shared" ca="1" si="26"/>
        <v>0</v>
      </c>
      <c r="V70" s="5">
        <f t="shared" ca="1" si="26"/>
        <v>0.33333333333333337</v>
      </c>
      <c r="W70" s="5">
        <f t="shared" ca="1" si="26"/>
        <v>0</v>
      </c>
      <c r="X70" s="5">
        <f t="shared" ca="1" si="26"/>
        <v>0.33333333333333337</v>
      </c>
      <c r="Y70" s="5">
        <f t="shared" ca="1" si="26"/>
        <v>0</v>
      </c>
      <c r="Z70" s="5">
        <f t="shared" ca="1" si="26"/>
        <v>0.33333333333333337</v>
      </c>
    </row>
    <row r="71" spans="1:26">
      <c r="A71">
        <v>38</v>
      </c>
      <c r="B71">
        <v>11</v>
      </c>
      <c r="C71" t="s">
        <v>7</v>
      </c>
      <c r="D71" s="2">
        <f t="shared" ca="1" si="27"/>
        <v>0</v>
      </c>
      <c r="E71" s="2">
        <f t="shared" ca="1" si="26"/>
        <v>0.33333333333333337</v>
      </c>
      <c r="F71" s="2">
        <f t="shared" ca="1" si="26"/>
        <v>0.33333333333333337</v>
      </c>
      <c r="G71" s="2">
        <f t="shared" ca="1" si="26"/>
        <v>0.33333333333333337</v>
      </c>
      <c r="H71" s="2">
        <f t="shared" ca="1" si="26"/>
        <v>2</v>
      </c>
      <c r="I71" s="2">
        <f t="shared" ca="1" si="26"/>
        <v>4.3333333333333339</v>
      </c>
      <c r="J71" s="2">
        <f t="shared" ca="1" si="26"/>
        <v>1.3333333333333335</v>
      </c>
      <c r="K71" s="3">
        <f t="shared" ca="1" si="26"/>
        <v>86.666666666666671</v>
      </c>
      <c r="L71" s="2">
        <f t="shared" ca="1" si="26"/>
        <v>1</v>
      </c>
      <c r="M71" s="2">
        <f t="shared" ca="1" si="26"/>
        <v>1</v>
      </c>
      <c r="N71" s="2">
        <f t="shared" ca="1" si="26"/>
        <v>1.3333333333333335</v>
      </c>
      <c r="O71" s="2">
        <f t="shared" ca="1" si="26"/>
        <v>0.33333333333333337</v>
      </c>
      <c r="P71" s="2">
        <f t="shared" ca="1" si="26"/>
        <v>0</v>
      </c>
      <c r="Q71" s="5">
        <f t="shared" ca="1" si="26"/>
        <v>0</v>
      </c>
      <c r="R71" s="5">
        <f t="shared" ca="1" si="26"/>
        <v>0</v>
      </c>
      <c r="S71" s="5">
        <f t="shared" ca="1" si="26"/>
        <v>0</v>
      </c>
      <c r="T71" s="5">
        <f t="shared" ca="1" si="26"/>
        <v>0</v>
      </c>
      <c r="U71" s="5">
        <f t="shared" ca="1" si="26"/>
        <v>0</v>
      </c>
      <c r="V71" s="5">
        <f t="shared" ca="1" si="26"/>
        <v>0.33333333333333337</v>
      </c>
      <c r="W71" s="5">
        <f t="shared" ca="1" si="26"/>
        <v>0.33333333333333337</v>
      </c>
      <c r="X71" s="5">
        <f t="shared" ca="1" si="26"/>
        <v>0.33333333333333337</v>
      </c>
      <c r="Y71" s="5">
        <f t="shared" ca="1" si="26"/>
        <v>0</v>
      </c>
      <c r="Z71" s="5">
        <f t="shared" ca="1" si="26"/>
        <v>0.66666666666666674</v>
      </c>
    </row>
    <row r="72" spans="1:26">
      <c r="A72">
        <v>39</v>
      </c>
      <c r="B72">
        <v>12</v>
      </c>
      <c r="C72" t="s">
        <v>8</v>
      </c>
      <c r="D72" s="2">
        <f t="shared" ca="1" si="27"/>
        <v>1.3333333333333335</v>
      </c>
      <c r="E72" s="2">
        <f t="shared" ca="1" si="26"/>
        <v>6.333333333333333</v>
      </c>
      <c r="F72" s="2">
        <f t="shared" ca="1" si="26"/>
        <v>0.33333333333333337</v>
      </c>
      <c r="G72" s="2">
        <f t="shared" ca="1" si="26"/>
        <v>1.6666666666666667</v>
      </c>
      <c r="H72" s="2">
        <f t="shared" ca="1" si="26"/>
        <v>3.3333333333333335</v>
      </c>
      <c r="I72" s="2">
        <f t="shared" ca="1" si="26"/>
        <v>1</v>
      </c>
      <c r="J72" s="2">
        <f t="shared" ca="1" si="26"/>
        <v>3</v>
      </c>
      <c r="K72" s="2">
        <f t="shared" ca="1" si="26"/>
        <v>1</v>
      </c>
      <c r="L72" s="3">
        <f t="shared" ca="1" si="26"/>
        <v>36.666666666666664</v>
      </c>
      <c r="M72" s="2">
        <f t="shared" ca="1" si="26"/>
        <v>1</v>
      </c>
      <c r="N72" s="2">
        <f t="shared" ca="1" si="26"/>
        <v>8.3333333333333339</v>
      </c>
      <c r="O72" s="2">
        <f t="shared" ca="1" si="26"/>
        <v>7.333333333333333</v>
      </c>
      <c r="P72" s="2">
        <f t="shared" ca="1" si="26"/>
        <v>8.3333333333333339</v>
      </c>
      <c r="Q72" s="5">
        <f t="shared" ca="1" si="26"/>
        <v>0</v>
      </c>
      <c r="R72" s="5">
        <f t="shared" ca="1" si="26"/>
        <v>3.666666666666667</v>
      </c>
      <c r="S72" s="5">
        <f t="shared" ca="1" si="26"/>
        <v>0</v>
      </c>
      <c r="T72" s="5">
        <f t="shared" ca="1" si="26"/>
        <v>0.33333333333333337</v>
      </c>
      <c r="U72" s="5">
        <f t="shared" ca="1" si="26"/>
        <v>1</v>
      </c>
      <c r="V72" s="5">
        <f t="shared" ca="1" si="26"/>
        <v>0</v>
      </c>
      <c r="W72" s="5">
        <f t="shared" ca="1" si="26"/>
        <v>0</v>
      </c>
      <c r="X72" s="5">
        <f t="shared" ca="1" si="26"/>
        <v>0.33333333333333337</v>
      </c>
      <c r="Y72" s="5">
        <f t="shared" ca="1" si="26"/>
        <v>0.66666666666666674</v>
      </c>
      <c r="Z72" s="5">
        <f t="shared" ca="1" si="26"/>
        <v>0</v>
      </c>
    </row>
    <row r="73" spans="1:26">
      <c r="A73">
        <v>40</v>
      </c>
      <c r="B73">
        <v>13</v>
      </c>
      <c r="C73" t="s">
        <v>9</v>
      </c>
      <c r="D73" s="2">
        <f t="shared" ca="1" si="27"/>
        <v>0.33333333333333337</v>
      </c>
      <c r="E73" s="2">
        <f t="shared" ca="1" si="26"/>
        <v>0</v>
      </c>
      <c r="F73" s="2">
        <f t="shared" ca="1" si="26"/>
        <v>0</v>
      </c>
      <c r="G73" s="2">
        <f t="shared" ca="1" si="26"/>
        <v>0</v>
      </c>
      <c r="H73" s="2">
        <f t="shared" ca="1" si="26"/>
        <v>0</v>
      </c>
      <c r="I73" s="2">
        <f t="shared" ca="1" si="26"/>
        <v>0</v>
      </c>
      <c r="J73" s="2">
        <f t="shared" ca="1" si="26"/>
        <v>27.333333333333336</v>
      </c>
      <c r="K73" s="2">
        <f t="shared" ca="1" si="26"/>
        <v>1</v>
      </c>
      <c r="L73" s="4">
        <f t="shared" ca="1" si="26"/>
        <v>1</v>
      </c>
      <c r="M73" s="3">
        <f t="shared" ca="1" si="26"/>
        <v>41.333333333333336</v>
      </c>
      <c r="N73" s="2">
        <f t="shared" ca="1" si="26"/>
        <v>0</v>
      </c>
      <c r="O73" s="2">
        <f t="shared" ca="1" si="26"/>
        <v>0.33333333333333337</v>
      </c>
      <c r="P73" s="2">
        <f t="shared" ca="1" si="26"/>
        <v>0</v>
      </c>
      <c r="Q73" s="2">
        <f t="shared" ca="1" si="26"/>
        <v>0.33333333333333337</v>
      </c>
      <c r="R73" s="2">
        <f t="shared" ca="1" si="26"/>
        <v>0.33333333333333337</v>
      </c>
      <c r="S73" s="2">
        <f t="shared" ca="1" si="26"/>
        <v>0</v>
      </c>
      <c r="T73" s="2">
        <f t="shared" ca="1" si="26"/>
        <v>0</v>
      </c>
      <c r="U73" s="2">
        <f t="shared" ca="1" si="26"/>
        <v>0</v>
      </c>
      <c r="V73" s="2">
        <f t="shared" ca="1" si="26"/>
        <v>0</v>
      </c>
      <c r="W73" s="2">
        <f t="shared" ca="1" si="26"/>
        <v>0</v>
      </c>
      <c r="X73" s="2">
        <f t="shared" ca="1" si="26"/>
        <v>0</v>
      </c>
      <c r="Y73" s="2">
        <f t="shared" ca="1" si="26"/>
        <v>0</v>
      </c>
      <c r="Z73" s="2">
        <f t="shared" ca="1" si="26"/>
        <v>0.33333333333333337</v>
      </c>
    </row>
    <row r="74" spans="1:26">
      <c r="A74">
        <v>41</v>
      </c>
      <c r="B74">
        <v>14</v>
      </c>
      <c r="C74" t="s">
        <v>10</v>
      </c>
      <c r="D74" s="2">
        <f t="shared" ca="1" si="27"/>
        <v>0</v>
      </c>
      <c r="E74" s="2">
        <f t="shared" ca="1" si="26"/>
        <v>0.33333333333333337</v>
      </c>
      <c r="F74" s="2">
        <f t="shared" ca="1" si="26"/>
        <v>0.33333333333333337</v>
      </c>
      <c r="G74" s="2">
        <f t="shared" ca="1" si="26"/>
        <v>0.66666666666666674</v>
      </c>
      <c r="H74" s="2">
        <f t="shared" ca="1" si="26"/>
        <v>8.3333333333333339</v>
      </c>
      <c r="I74" s="2">
        <f t="shared" ca="1" si="26"/>
        <v>5</v>
      </c>
      <c r="J74" s="2">
        <f t="shared" ca="1" si="26"/>
        <v>0</v>
      </c>
      <c r="K74" s="2">
        <f t="shared" ca="1" si="26"/>
        <v>1.3333333333333335</v>
      </c>
      <c r="L74" s="2">
        <f t="shared" ca="1" si="26"/>
        <v>8.3333333333333339</v>
      </c>
      <c r="M74" s="2">
        <f t="shared" ca="1" si="26"/>
        <v>0</v>
      </c>
      <c r="N74" s="3">
        <f t="shared" ca="1" si="26"/>
        <v>30</v>
      </c>
      <c r="O74" s="2">
        <f t="shared" ca="1" si="26"/>
        <v>1.3333333333333335</v>
      </c>
      <c r="P74" s="2">
        <f t="shared" ca="1" si="26"/>
        <v>4.666666666666667</v>
      </c>
      <c r="Q74" s="2">
        <f t="shared" ca="1" si="26"/>
        <v>4</v>
      </c>
      <c r="R74" s="2">
        <f t="shared" ca="1" si="26"/>
        <v>11.666666666666668</v>
      </c>
      <c r="S74" s="2">
        <f t="shared" ca="1" si="26"/>
        <v>0</v>
      </c>
      <c r="T74" s="2">
        <f t="shared" ca="1" si="26"/>
        <v>0</v>
      </c>
      <c r="U74" s="2">
        <f t="shared" ca="1" si="26"/>
        <v>0</v>
      </c>
      <c r="V74" s="2">
        <f t="shared" ca="1" si="26"/>
        <v>0.33333333333333337</v>
      </c>
      <c r="W74" s="2">
        <f t="shared" ca="1" si="26"/>
        <v>1.3333333333333335</v>
      </c>
      <c r="X74" s="2">
        <f t="shared" ca="1" si="26"/>
        <v>0.66666666666666674</v>
      </c>
      <c r="Y74" s="2">
        <f t="shared" ca="1" si="26"/>
        <v>1</v>
      </c>
      <c r="Z74" s="2">
        <f t="shared" ca="1" si="26"/>
        <v>0</v>
      </c>
    </row>
    <row r="75" spans="1:26">
      <c r="A75">
        <v>42</v>
      </c>
      <c r="B75">
        <v>15</v>
      </c>
      <c r="C75" t="s">
        <v>11</v>
      </c>
      <c r="D75" s="2">
        <f t="shared" ca="1" si="27"/>
        <v>6.3333333333333339</v>
      </c>
      <c r="E75" s="2">
        <f t="shared" ca="1" si="26"/>
        <v>5.3333333333333339</v>
      </c>
      <c r="F75" s="2">
        <f t="shared" ca="1" si="26"/>
        <v>3</v>
      </c>
      <c r="G75" s="2">
        <f t="shared" ca="1" si="26"/>
        <v>7.6666666666666661</v>
      </c>
      <c r="H75" s="2">
        <f t="shared" ca="1" si="26"/>
        <v>1</v>
      </c>
      <c r="I75" s="2">
        <f t="shared" ca="1" si="26"/>
        <v>0.66666666666666674</v>
      </c>
      <c r="J75" s="2">
        <f t="shared" ca="1" si="26"/>
        <v>1.6666666666666667</v>
      </c>
      <c r="K75" s="2">
        <f t="shared" ca="1" si="26"/>
        <v>0.33333333333333337</v>
      </c>
      <c r="L75" s="2">
        <f t="shared" ca="1" si="26"/>
        <v>7.333333333333333</v>
      </c>
      <c r="M75" s="2">
        <f t="shared" ca="1" si="26"/>
        <v>0.33333333333333337</v>
      </c>
      <c r="N75" s="2">
        <f t="shared" ca="1" si="26"/>
        <v>1.3333333333333335</v>
      </c>
      <c r="O75" s="3">
        <f t="shared" ca="1" si="26"/>
        <v>36</v>
      </c>
      <c r="P75" s="2">
        <f t="shared" ca="1" si="26"/>
        <v>15</v>
      </c>
      <c r="Q75" s="2">
        <f t="shared" ca="1" si="26"/>
        <v>2.3333333333333335</v>
      </c>
      <c r="R75" s="2">
        <f t="shared" ref="R75:Z86" ca="1" si="28">AVERAGE(INDIRECT((ADDRESS($A75,R$60))),INDIRECT((ADDRESS(R$61,$B75))))</f>
        <v>2.666666666666667</v>
      </c>
      <c r="S75" s="2">
        <f t="shared" ca="1" si="28"/>
        <v>2</v>
      </c>
      <c r="T75" s="2">
        <f t="shared" ca="1" si="28"/>
        <v>0</v>
      </c>
      <c r="U75" s="2">
        <f t="shared" ca="1" si="28"/>
        <v>0.33333333333333337</v>
      </c>
      <c r="V75" s="2">
        <f t="shared" ca="1" si="28"/>
        <v>2</v>
      </c>
      <c r="W75" s="2">
        <f t="shared" ca="1" si="28"/>
        <v>0.33333333333333337</v>
      </c>
      <c r="X75" s="2">
        <f t="shared" ca="1" si="28"/>
        <v>0.33333333333333337</v>
      </c>
      <c r="Y75" s="2">
        <f t="shared" ca="1" si="28"/>
        <v>0</v>
      </c>
      <c r="Z75" s="2">
        <f t="shared" ca="1" si="28"/>
        <v>1.666666666666667</v>
      </c>
    </row>
    <row r="76" spans="1:26">
      <c r="A76">
        <v>43</v>
      </c>
      <c r="B76">
        <v>16</v>
      </c>
      <c r="C76" t="s">
        <v>12</v>
      </c>
      <c r="D76" s="2">
        <f t="shared" ca="1" si="27"/>
        <v>4</v>
      </c>
      <c r="E76" s="2">
        <f t="shared" ca="1" si="27"/>
        <v>6.333333333333333</v>
      </c>
      <c r="F76" s="2">
        <f t="shared" ca="1" si="27"/>
        <v>2.666666666666667</v>
      </c>
      <c r="G76" s="2">
        <f t="shared" ca="1" si="27"/>
        <v>4.6666666666666661</v>
      </c>
      <c r="H76" s="2">
        <f t="shared" ca="1" si="27"/>
        <v>3.666666666666667</v>
      </c>
      <c r="I76" s="2">
        <f t="shared" ca="1" si="27"/>
        <v>1.6666666666666667</v>
      </c>
      <c r="J76" s="2">
        <f t="shared" ca="1" si="27"/>
        <v>0.66666666666666674</v>
      </c>
      <c r="K76" s="2">
        <f t="shared" ca="1" si="27"/>
        <v>0</v>
      </c>
      <c r="L76" s="2">
        <f t="shared" ca="1" si="27"/>
        <v>8.3333333333333339</v>
      </c>
      <c r="M76" s="2">
        <f t="shared" ca="1" si="27"/>
        <v>0</v>
      </c>
      <c r="N76" s="2">
        <f t="shared" ca="1" si="27"/>
        <v>4.666666666666667</v>
      </c>
      <c r="O76" s="2">
        <f t="shared" ca="1" si="27"/>
        <v>15</v>
      </c>
      <c r="P76" s="3">
        <f t="shared" ca="1" si="27"/>
        <v>13.333333333333334</v>
      </c>
      <c r="Q76" s="2">
        <f t="shared" ca="1" si="27"/>
        <v>7</v>
      </c>
      <c r="R76" s="2">
        <f t="shared" ca="1" si="27"/>
        <v>8.6666666666666679</v>
      </c>
      <c r="S76" s="2">
        <f t="shared" ca="1" si="27"/>
        <v>1.6666666666666667</v>
      </c>
      <c r="T76" s="2">
        <f t="shared" ca="1" si="28"/>
        <v>0</v>
      </c>
      <c r="U76" s="2">
        <f t="shared" ca="1" si="28"/>
        <v>0.33333333333333337</v>
      </c>
      <c r="V76" s="2">
        <f t="shared" ca="1" si="28"/>
        <v>0</v>
      </c>
      <c r="W76" s="2">
        <f t="shared" ca="1" si="28"/>
        <v>0</v>
      </c>
      <c r="X76" s="2">
        <f t="shared" ca="1" si="28"/>
        <v>0</v>
      </c>
      <c r="Y76" s="2">
        <f t="shared" ca="1" si="28"/>
        <v>0</v>
      </c>
      <c r="Z76" s="2">
        <f t="shared" ca="1" si="28"/>
        <v>1.3333333333333335</v>
      </c>
    </row>
    <row r="77" spans="1:26">
      <c r="A77">
        <v>44</v>
      </c>
      <c r="B77">
        <v>17</v>
      </c>
      <c r="C77" t="s">
        <v>13</v>
      </c>
      <c r="D77" s="5">
        <f t="shared" ca="1" si="27"/>
        <v>1.3333333333333335</v>
      </c>
      <c r="E77" s="5">
        <f t="shared" ca="1" si="27"/>
        <v>0.66666666666666674</v>
      </c>
      <c r="F77" s="5">
        <f t="shared" ca="1" si="27"/>
        <v>0.33333333333333337</v>
      </c>
      <c r="G77" s="5">
        <f t="shared" ca="1" si="27"/>
        <v>8.6666666666666661</v>
      </c>
      <c r="H77" s="5">
        <f t="shared" ca="1" si="27"/>
        <v>5</v>
      </c>
      <c r="I77" s="5">
        <f t="shared" ca="1" si="27"/>
        <v>5</v>
      </c>
      <c r="J77" s="5">
        <f t="shared" ca="1" si="27"/>
        <v>0</v>
      </c>
      <c r="K77" s="5">
        <f t="shared" ca="1" si="27"/>
        <v>0</v>
      </c>
      <c r="L77" s="5">
        <f t="shared" ca="1" si="27"/>
        <v>0</v>
      </c>
      <c r="M77" s="5">
        <f t="shared" ca="1" si="27"/>
        <v>0.33333333333333337</v>
      </c>
      <c r="N77" s="5">
        <f t="shared" ca="1" si="27"/>
        <v>4</v>
      </c>
      <c r="O77" s="2">
        <f t="shared" ca="1" si="27"/>
        <v>2.3333333333333335</v>
      </c>
      <c r="P77" s="2">
        <f t="shared" ca="1" si="27"/>
        <v>7</v>
      </c>
      <c r="Q77" s="3">
        <f t="shared" ca="1" si="27"/>
        <v>22.666666666666664</v>
      </c>
      <c r="R77" s="2">
        <f t="shared" ca="1" si="27"/>
        <v>15.666666666666668</v>
      </c>
      <c r="S77" s="2">
        <f t="shared" ca="1" si="27"/>
        <v>0.33333333333333337</v>
      </c>
      <c r="T77" s="2">
        <f t="shared" ca="1" si="28"/>
        <v>0.66666666666666674</v>
      </c>
      <c r="U77" s="2">
        <f t="shared" ca="1" si="28"/>
        <v>0.33333333333333337</v>
      </c>
      <c r="V77" s="2">
        <f t="shared" ca="1" si="28"/>
        <v>3</v>
      </c>
      <c r="W77" s="2">
        <f t="shared" ca="1" si="28"/>
        <v>0.66666666666666674</v>
      </c>
      <c r="X77" s="2">
        <f t="shared" ca="1" si="28"/>
        <v>1</v>
      </c>
      <c r="Y77" s="2">
        <f t="shared" ca="1" si="28"/>
        <v>1</v>
      </c>
      <c r="Z77" s="2">
        <f t="shared" ca="1" si="28"/>
        <v>1</v>
      </c>
    </row>
    <row r="78" spans="1:26">
      <c r="A78">
        <v>45</v>
      </c>
      <c r="B78">
        <v>18</v>
      </c>
      <c r="C78" t="s">
        <v>14</v>
      </c>
      <c r="D78" s="5">
        <f t="shared" ca="1" si="27"/>
        <v>1.3333333333333335</v>
      </c>
      <c r="E78" s="5">
        <f t="shared" ca="1" si="27"/>
        <v>1.3333333333333335</v>
      </c>
      <c r="F78" s="5">
        <f t="shared" ca="1" si="27"/>
        <v>0.66666666666666674</v>
      </c>
      <c r="G78" s="5">
        <f t="shared" ca="1" si="27"/>
        <v>6</v>
      </c>
      <c r="H78" s="5">
        <f t="shared" ca="1" si="27"/>
        <v>5.3333333333333339</v>
      </c>
      <c r="I78" s="5">
        <f t="shared" ca="1" si="27"/>
        <v>2.666666666666667</v>
      </c>
      <c r="J78" s="5">
        <f t="shared" ca="1" si="27"/>
        <v>1</v>
      </c>
      <c r="K78" s="5">
        <f t="shared" ca="1" si="27"/>
        <v>0</v>
      </c>
      <c r="L78" s="5">
        <f t="shared" ca="1" si="27"/>
        <v>3.666666666666667</v>
      </c>
      <c r="M78" s="5">
        <f t="shared" ca="1" si="27"/>
        <v>0.33333333333333337</v>
      </c>
      <c r="N78" s="5">
        <f t="shared" ca="1" si="27"/>
        <v>11.666666666666668</v>
      </c>
      <c r="O78" s="2">
        <f t="shared" ca="1" si="27"/>
        <v>2.666666666666667</v>
      </c>
      <c r="P78" s="2">
        <f t="shared" ca="1" si="27"/>
        <v>8.6666666666666679</v>
      </c>
      <c r="Q78" s="2">
        <f t="shared" ca="1" si="27"/>
        <v>15.666666666666668</v>
      </c>
      <c r="R78" s="3">
        <f t="shared" ca="1" si="27"/>
        <v>30</v>
      </c>
      <c r="S78" s="2">
        <f t="shared" ca="1" si="27"/>
        <v>0.33333333333333337</v>
      </c>
      <c r="T78" s="2">
        <f t="shared" ca="1" si="28"/>
        <v>0.66666666666666674</v>
      </c>
      <c r="U78" s="2">
        <f t="shared" ca="1" si="28"/>
        <v>0.66666666666666674</v>
      </c>
      <c r="V78" s="2">
        <f t="shared" ca="1" si="28"/>
        <v>1.6666666666666667</v>
      </c>
      <c r="W78" s="2">
        <f t="shared" ca="1" si="28"/>
        <v>1.3333333333333335</v>
      </c>
      <c r="X78" s="2">
        <f t="shared" ca="1" si="28"/>
        <v>1</v>
      </c>
      <c r="Y78" s="2">
        <f t="shared" ca="1" si="28"/>
        <v>0</v>
      </c>
      <c r="Z78" s="2">
        <f t="shared" ca="1" si="28"/>
        <v>1</v>
      </c>
    </row>
    <row r="79" spans="1:26">
      <c r="A79">
        <v>46</v>
      </c>
      <c r="B79">
        <v>19</v>
      </c>
      <c r="C79" t="s">
        <v>15</v>
      </c>
      <c r="D79" s="5">
        <f t="shared" ca="1" si="27"/>
        <v>11.333333333333332</v>
      </c>
      <c r="E79" s="5">
        <f t="shared" ca="1" si="27"/>
        <v>14.333333333333336</v>
      </c>
      <c r="F79" s="5">
        <f t="shared" ca="1" si="27"/>
        <v>11.333333333333334</v>
      </c>
      <c r="G79" s="5">
        <f t="shared" ca="1" si="27"/>
        <v>0.33333333333333337</v>
      </c>
      <c r="H79" s="5">
        <f t="shared" ca="1" si="27"/>
        <v>0</v>
      </c>
      <c r="I79" s="5">
        <f t="shared" ca="1" si="27"/>
        <v>0.66666666666666674</v>
      </c>
      <c r="J79" s="5">
        <f t="shared" ca="1" si="27"/>
        <v>0.66666666666666674</v>
      </c>
      <c r="K79" s="5">
        <f t="shared" ca="1" si="27"/>
        <v>0</v>
      </c>
      <c r="L79" s="5">
        <f t="shared" ca="1" si="27"/>
        <v>0</v>
      </c>
      <c r="M79" s="5">
        <f t="shared" ca="1" si="27"/>
        <v>0</v>
      </c>
      <c r="N79" s="5">
        <f t="shared" ca="1" si="27"/>
        <v>0</v>
      </c>
      <c r="O79" s="2">
        <f t="shared" ca="1" si="27"/>
        <v>2</v>
      </c>
      <c r="P79" s="2">
        <f t="shared" ca="1" si="27"/>
        <v>1.6666666666666667</v>
      </c>
      <c r="Q79" s="2">
        <f t="shared" ca="1" si="27"/>
        <v>0.33333333333333337</v>
      </c>
      <c r="R79" s="2">
        <f t="shared" ca="1" si="27"/>
        <v>0.33333333333333337</v>
      </c>
      <c r="S79" s="3">
        <f t="shared" ca="1" si="27"/>
        <v>12.666666666666668</v>
      </c>
      <c r="T79" s="2">
        <f t="shared" ca="1" si="28"/>
        <v>1.3333333333333335</v>
      </c>
      <c r="U79" s="2">
        <f t="shared" ca="1" si="28"/>
        <v>0</v>
      </c>
      <c r="V79" s="2">
        <f t="shared" ca="1" si="28"/>
        <v>0.66666666666666674</v>
      </c>
      <c r="W79" s="2">
        <f t="shared" ca="1" si="28"/>
        <v>0</v>
      </c>
      <c r="X79" s="2">
        <f t="shared" ca="1" si="28"/>
        <v>0.66666666666666674</v>
      </c>
      <c r="Y79" s="2">
        <f t="shared" ca="1" si="28"/>
        <v>0.33333333333333337</v>
      </c>
      <c r="Z79" s="2">
        <f t="shared" ca="1" si="28"/>
        <v>8.3333333333333339</v>
      </c>
    </row>
    <row r="80" spans="1:26">
      <c r="A80">
        <v>47</v>
      </c>
      <c r="B80">
        <v>20</v>
      </c>
      <c r="C80" t="s">
        <v>16</v>
      </c>
      <c r="D80" s="5">
        <f t="shared" ca="1" si="27"/>
        <v>0</v>
      </c>
      <c r="E80" s="5">
        <f t="shared" ca="1" si="27"/>
        <v>0.33333333333333337</v>
      </c>
      <c r="F80" s="5">
        <f t="shared" ca="1" si="27"/>
        <v>0.33333333333333337</v>
      </c>
      <c r="G80" s="5">
        <f t="shared" ca="1" si="27"/>
        <v>0</v>
      </c>
      <c r="H80" s="5">
        <f t="shared" ca="1" si="27"/>
        <v>0</v>
      </c>
      <c r="I80" s="5">
        <f t="shared" ca="1" si="27"/>
        <v>0</v>
      </c>
      <c r="J80" s="5">
        <f t="shared" ca="1" si="27"/>
        <v>0.66666666666666674</v>
      </c>
      <c r="K80" s="5">
        <f t="shared" ca="1" si="27"/>
        <v>0</v>
      </c>
      <c r="L80" s="5">
        <f t="shared" ca="1" si="27"/>
        <v>0.33333333333333337</v>
      </c>
      <c r="M80" s="5">
        <f t="shared" ca="1" si="27"/>
        <v>0</v>
      </c>
      <c r="N80" s="5">
        <f t="shared" ca="1" si="27"/>
        <v>0</v>
      </c>
      <c r="O80" s="2">
        <f t="shared" ca="1" si="27"/>
        <v>0</v>
      </c>
      <c r="P80" s="2">
        <f t="shared" ca="1" si="27"/>
        <v>0</v>
      </c>
      <c r="Q80" s="2">
        <f t="shared" ca="1" si="27"/>
        <v>0.66666666666666674</v>
      </c>
      <c r="R80" s="2">
        <f t="shared" ca="1" si="27"/>
        <v>0.66666666666666674</v>
      </c>
      <c r="S80" s="2">
        <f t="shared" ca="1" si="27"/>
        <v>1.3333333333333335</v>
      </c>
      <c r="T80" s="3">
        <f t="shared" ca="1" si="28"/>
        <v>78.666666666666657</v>
      </c>
      <c r="U80" s="2">
        <f t="shared" ca="1" si="28"/>
        <v>15.333333333333336</v>
      </c>
      <c r="V80" s="2">
        <f t="shared" ca="1" si="28"/>
        <v>0.66666666666666674</v>
      </c>
      <c r="W80" s="2">
        <f t="shared" ca="1" si="28"/>
        <v>0</v>
      </c>
      <c r="X80" s="2">
        <f t="shared" ca="1" si="28"/>
        <v>0.33333333333333337</v>
      </c>
      <c r="Y80" s="2">
        <f t="shared" ca="1" si="28"/>
        <v>1</v>
      </c>
      <c r="Z80" s="2">
        <f t="shared" ca="1" si="28"/>
        <v>0.33333333333333337</v>
      </c>
    </row>
    <row r="81" spans="1:26">
      <c r="A81">
        <v>48</v>
      </c>
      <c r="B81">
        <v>21</v>
      </c>
      <c r="C81" t="s">
        <v>17</v>
      </c>
      <c r="D81" s="5">
        <f t="shared" ca="1" si="27"/>
        <v>0</v>
      </c>
      <c r="E81" s="5">
        <f t="shared" ca="1" si="27"/>
        <v>0.33333333333333337</v>
      </c>
      <c r="F81" s="5">
        <f t="shared" ca="1" si="27"/>
        <v>0</v>
      </c>
      <c r="G81" s="5">
        <f t="shared" ca="1" si="27"/>
        <v>0</v>
      </c>
      <c r="H81" s="5">
        <f t="shared" ca="1" si="27"/>
        <v>0</v>
      </c>
      <c r="I81" s="5">
        <f t="shared" ca="1" si="27"/>
        <v>0</v>
      </c>
      <c r="J81" s="5">
        <f t="shared" ca="1" si="27"/>
        <v>0</v>
      </c>
      <c r="K81" s="5">
        <f t="shared" ca="1" si="27"/>
        <v>0</v>
      </c>
      <c r="L81" s="5">
        <f t="shared" ca="1" si="27"/>
        <v>1</v>
      </c>
      <c r="M81" s="5">
        <f t="shared" ca="1" si="27"/>
        <v>0</v>
      </c>
      <c r="N81" s="5">
        <f t="shared" ca="1" si="27"/>
        <v>0</v>
      </c>
      <c r="O81" s="2">
        <f t="shared" ca="1" si="27"/>
        <v>0.33333333333333337</v>
      </c>
      <c r="P81" s="2">
        <f t="shared" ca="1" si="27"/>
        <v>0.33333333333333337</v>
      </c>
      <c r="Q81" s="2">
        <f t="shared" ca="1" si="27"/>
        <v>0.33333333333333337</v>
      </c>
      <c r="R81" s="2">
        <f t="shared" ca="1" si="27"/>
        <v>0.66666666666666674</v>
      </c>
      <c r="S81" s="2">
        <f t="shared" ca="1" si="27"/>
        <v>0</v>
      </c>
      <c r="T81" s="2">
        <f t="shared" ca="1" si="28"/>
        <v>15.333333333333336</v>
      </c>
      <c r="U81" s="3">
        <f t="shared" ca="1" si="28"/>
        <v>84</v>
      </c>
      <c r="V81" s="2">
        <f t="shared" ca="1" si="28"/>
        <v>1</v>
      </c>
      <c r="W81" s="2">
        <f t="shared" ca="1" si="28"/>
        <v>0.33333333333333337</v>
      </c>
      <c r="X81" s="2">
        <f t="shared" ca="1" si="28"/>
        <v>0</v>
      </c>
      <c r="Y81" s="2">
        <f t="shared" ca="1" si="28"/>
        <v>0.66666666666666674</v>
      </c>
      <c r="Z81" s="2">
        <f t="shared" ca="1" si="28"/>
        <v>1</v>
      </c>
    </row>
    <row r="82" spans="1:26">
      <c r="A82">
        <v>49</v>
      </c>
      <c r="B82">
        <v>22</v>
      </c>
      <c r="C82" t="s">
        <v>18</v>
      </c>
      <c r="D82" s="5">
        <f t="shared" ca="1" si="27"/>
        <v>1.3333333333333335</v>
      </c>
      <c r="E82" s="5">
        <f t="shared" ca="1" si="27"/>
        <v>0</v>
      </c>
      <c r="F82" s="5">
        <f t="shared" ca="1" si="27"/>
        <v>0.33333333333333337</v>
      </c>
      <c r="G82" s="5">
        <f t="shared" ca="1" si="27"/>
        <v>4.6666666666666661</v>
      </c>
      <c r="H82" s="5">
        <f t="shared" ca="1" si="27"/>
        <v>0.33333333333333337</v>
      </c>
      <c r="I82" s="5">
        <f t="shared" ca="1" si="27"/>
        <v>1.3333333333333335</v>
      </c>
      <c r="J82" s="5">
        <f t="shared" ca="1" si="27"/>
        <v>0.33333333333333337</v>
      </c>
      <c r="K82" s="5">
        <f t="shared" ca="1" si="27"/>
        <v>0.33333333333333337</v>
      </c>
      <c r="L82" s="5">
        <f t="shared" ca="1" si="27"/>
        <v>0</v>
      </c>
      <c r="M82" s="5">
        <f t="shared" ca="1" si="27"/>
        <v>0</v>
      </c>
      <c r="N82" s="5">
        <f t="shared" ca="1" si="27"/>
        <v>0.33333333333333337</v>
      </c>
      <c r="O82" s="2">
        <f t="shared" ca="1" si="27"/>
        <v>2</v>
      </c>
      <c r="P82" s="2">
        <f t="shared" ca="1" si="27"/>
        <v>0</v>
      </c>
      <c r="Q82" s="2">
        <f t="shared" ca="1" si="27"/>
        <v>3</v>
      </c>
      <c r="R82" s="2">
        <f t="shared" ca="1" si="27"/>
        <v>1.6666666666666667</v>
      </c>
      <c r="S82" s="2">
        <f t="shared" ca="1" si="27"/>
        <v>0.66666666666666674</v>
      </c>
      <c r="T82" s="2">
        <f t="shared" ca="1" si="28"/>
        <v>0.66666666666666674</v>
      </c>
      <c r="U82" s="2">
        <f t="shared" ca="1" si="28"/>
        <v>1</v>
      </c>
      <c r="V82" s="3">
        <f t="shared" ca="1" si="28"/>
        <v>71.333333333333343</v>
      </c>
      <c r="W82" s="2">
        <f t="shared" ca="1" si="28"/>
        <v>11</v>
      </c>
      <c r="X82" s="2">
        <f t="shared" ca="1" si="28"/>
        <v>5</v>
      </c>
      <c r="Y82" s="2">
        <f t="shared" ca="1" si="28"/>
        <v>1.6666666666666667</v>
      </c>
      <c r="Z82" s="2">
        <f t="shared" ca="1" si="28"/>
        <v>2</v>
      </c>
    </row>
    <row r="83" spans="1:26">
      <c r="A83">
        <v>50</v>
      </c>
      <c r="B83">
        <v>23</v>
      </c>
      <c r="C83" t="s">
        <v>19</v>
      </c>
      <c r="D83" s="5">
        <f t="shared" ca="1" si="27"/>
        <v>0</v>
      </c>
      <c r="E83" s="5">
        <f t="shared" ca="1" si="27"/>
        <v>1.3333333333333335</v>
      </c>
      <c r="F83" s="5">
        <f t="shared" ca="1" si="27"/>
        <v>0.66666666666666674</v>
      </c>
      <c r="G83" s="5">
        <f t="shared" ca="1" si="27"/>
        <v>1</v>
      </c>
      <c r="H83" s="5">
        <f t="shared" ca="1" si="27"/>
        <v>0.33333333333333337</v>
      </c>
      <c r="I83" s="5">
        <f t="shared" ca="1" si="27"/>
        <v>3</v>
      </c>
      <c r="J83" s="5">
        <f t="shared" ca="1" si="27"/>
        <v>0</v>
      </c>
      <c r="K83" s="5">
        <f t="shared" ca="1" si="27"/>
        <v>0.33333333333333337</v>
      </c>
      <c r="L83" s="5">
        <f t="shared" ca="1" si="27"/>
        <v>0</v>
      </c>
      <c r="M83" s="5">
        <f t="shared" ca="1" si="27"/>
        <v>0</v>
      </c>
      <c r="N83" s="5">
        <f t="shared" ca="1" si="27"/>
        <v>1.3333333333333335</v>
      </c>
      <c r="O83" s="2">
        <f t="shared" ca="1" si="27"/>
        <v>0.33333333333333337</v>
      </c>
      <c r="P83" s="2">
        <f t="shared" ca="1" si="27"/>
        <v>0</v>
      </c>
      <c r="Q83" s="2">
        <f t="shared" ca="1" si="27"/>
        <v>0.66666666666666674</v>
      </c>
      <c r="R83" s="2">
        <f t="shared" ca="1" si="27"/>
        <v>1.3333333333333335</v>
      </c>
      <c r="S83" s="2">
        <f t="shared" ca="1" si="27"/>
        <v>0</v>
      </c>
      <c r="T83" s="2">
        <f t="shared" ca="1" si="28"/>
        <v>0</v>
      </c>
      <c r="U83" s="2">
        <f t="shared" ca="1" si="28"/>
        <v>0.33333333333333337</v>
      </c>
      <c r="V83" s="2">
        <f t="shared" ca="1" si="28"/>
        <v>11</v>
      </c>
      <c r="W83" s="3">
        <f t="shared" ca="1" si="28"/>
        <v>45.333333333333329</v>
      </c>
      <c r="X83" s="2">
        <f t="shared" ca="1" si="28"/>
        <v>12</v>
      </c>
      <c r="Y83" s="2">
        <f t="shared" ca="1" si="28"/>
        <v>8.6666666666666679</v>
      </c>
      <c r="Z83" s="2">
        <f t="shared" ca="1" si="28"/>
        <v>1.6666666666666667</v>
      </c>
    </row>
    <row r="84" spans="1:26">
      <c r="A84">
        <v>51</v>
      </c>
      <c r="B84">
        <v>24</v>
      </c>
      <c r="C84" t="s">
        <v>20</v>
      </c>
      <c r="D84" s="5">
        <f t="shared" ca="1" si="27"/>
        <v>0</v>
      </c>
      <c r="E84" s="5">
        <f t="shared" ca="1" si="27"/>
        <v>1.3333333333333335</v>
      </c>
      <c r="F84" s="5">
        <f t="shared" ca="1" si="27"/>
        <v>0.33333333333333337</v>
      </c>
      <c r="G84" s="5">
        <f t="shared" ca="1" si="27"/>
        <v>1</v>
      </c>
      <c r="H84" s="5">
        <f t="shared" ca="1" si="27"/>
        <v>0.33333333333333337</v>
      </c>
      <c r="I84" s="5">
        <f t="shared" ca="1" si="27"/>
        <v>2.3333333333333335</v>
      </c>
      <c r="J84" s="5">
        <f t="shared" ca="1" si="27"/>
        <v>0.33333333333333337</v>
      </c>
      <c r="K84" s="5">
        <f t="shared" ca="1" si="27"/>
        <v>0.33333333333333337</v>
      </c>
      <c r="L84" s="5">
        <f t="shared" ca="1" si="27"/>
        <v>0.33333333333333337</v>
      </c>
      <c r="M84" s="5">
        <f t="shared" ca="1" si="27"/>
        <v>0</v>
      </c>
      <c r="N84" s="5">
        <f t="shared" ca="1" si="27"/>
        <v>0.66666666666666674</v>
      </c>
      <c r="O84" s="2">
        <f t="shared" ca="1" si="27"/>
        <v>0.33333333333333337</v>
      </c>
      <c r="P84" s="2">
        <f t="shared" ca="1" si="27"/>
        <v>0</v>
      </c>
      <c r="Q84" s="2">
        <f t="shared" ca="1" si="27"/>
        <v>1</v>
      </c>
      <c r="R84" s="2">
        <f t="shared" ca="1" si="27"/>
        <v>1</v>
      </c>
      <c r="S84" s="2">
        <f t="shared" ca="1" si="27"/>
        <v>0.66666666666666674</v>
      </c>
      <c r="T84" s="2">
        <f t="shared" ca="1" si="28"/>
        <v>0.33333333333333337</v>
      </c>
      <c r="U84" s="2">
        <f t="shared" ca="1" si="28"/>
        <v>0</v>
      </c>
      <c r="V84" s="2">
        <f t="shared" ca="1" si="28"/>
        <v>5</v>
      </c>
      <c r="W84" s="2">
        <f t="shared" ca="1" si="28"/>
        <v>12</v>
      </c>
      <c r="X84" s="3">
        <f t="shared" ca="1" si="28"/>
        <v>50</v>
      </c>
      <c r="Y84" s="2">
        <f t="shared" ca="1" si="28"/>
        <v>7.333333333333333</v>
      </c>
      <c r="Z84" s="2">
        <f t="shared" ca="1" si="28"/>
        <v>0.66666666666666674</v>
      </c>
    </row>
    <row r="85" spans="1:26">
      <c r="A85">
        <v>52</v>
      </c>
      <c r="B85">
        <v>25</v>
      </c>
      <c r="C85" t="s">
        <v>21</v>
      </c>
      <c r="D85" s="5">
        <f t="shared" ca="1" si="27"/>
        <v>0</v>
      </c>
      <c r="E85" s="5">
        <f t="shared" ca="1" si="27"/>
        <v>0</v>
      </c>
      <c r="F85" s="5">
        <f t="shared" ca="1" si="27"/>
        <v>0</v>
      </c>
      <c r="G85" s="5">
        <f t="shared" ca="1" si="27"/>
        <v>1</v>
      </c>
      <c r="H85" s="5">
        <f t="shared" ca="1" si="27"/>
        <v>0.33333333333333337</v>
      </c>
      <c r="I85" s="5">
        <f t="shared" ca="1" si="27"/>
        <v>7.333333333333333</v>
      </c>
      <c r="J85" s="5">
        <f t="shared" ca="1" si="27"/>
        <v>0</v>
      </c>
      <c r="K85" s="5">
        <f t="shared" ca="1" si="27"/>
        <v>0</v>
      </c>
      <c r="L85" s="5">
        <f t="shared" ca="1" si="27"/>
        <v>0.66666666666666674</v>
      </c>
      <c r="M85" s="5">
        <f t="shared" ca="1" si="27"/>
        <v>0</v>
      </c>
      <c r="N85" s="5">
        <f t="shared" ca="1" si="27"/>
        <v>1</v>
      </c>
      <c r="O85" s="2">
        <f t="shared" ca="1" si="27"/>
        <v>0</v>
      </c>
      <c r="P85" s="2">
        <f t="shared" ca="1" si="27"/>
        <v>0</v>
      </c>
      <c r="Q85" s="2">
        <f t="shared" ca="1" si="27"/>
        <v>1</v>
      </c>
      <c r="R85" s="2">
        <f t="shared" ca="1" si="27"/>
        <v>0</v>
      </c>
      <c r="S85" s="2">
        <f t="shared" ca="1" si="27"/>
        <v>0.33333333333333337</v>
      </c>
      <c r="T85" s="2">
        <f t="shared" ca="1" si="28"/>
        <v>1</v>
      </c>
      <c r="U85" s="2">
        <f t="shared" ca="1" si="28"/>
        <v>0.66666666666666674</v>
      </c>
      <c r="V85" s="2">
        <f t="shared" ca="1" si="28"/>
        <v>1.6666666666666667</v>
      </c>
      <c r="W85" s="2">
        <f t="shared" ca="1" si="28"/>
        <v>8.6666666666666679</v>
      </c>
      <c r="X85" s="2">
        <f t="shared" ca="1" si="28"/>
        <v>7.333333333333333</v>
      </c>
      <c r="Y85" s="3">
        <f t="shared" ca="1" si="28"/>
        <v>72</v>
      </c>
      <c r="Z85" s="2">
        <f t="shared" ca="1" si="28"/>
        <v>4</v>
      </c>
    </row>
    <row r="86" spans="1:26">
      <c r="A86">
        <v>53</v>
      </c>
      <c r="B86">
        <v>26</v>
      </c>
      <c r="C86" t="s">
        <v>22</v>
      </c>
      <c r="D86" s="5">
        <f t="shared" ca="1" si="27"/>
        <v>3</v>
      </c>
      <c r="E86" s="5">
        <f t="shared" ca="1" si="27"/>
        <v>3</v>
      </c>
      <c r="F86" s="5">
        <f t="shared" ca="1" si="27"/>
        <v>4.3333333333333339</v>
      </c>
      <c r="G86" s="5">
        <f t="shared" ca="1" si="27"/>
        <v>2.3333333333333335</v>
      </c>
      <c r="H86" s="5">
        <f t="shared" ca="1" si="27"/>
        <v>0.66666666666666674</v>
      </c>
      <c r="I86" s="5">
        <f t="shared" ca="1" si="27"/>
        <v>1.666666666666667</v>
      </c>
      <c r="J86" s="5">
        <f t="shared" ca="1" si="27"/>
        <v>0.33333333333333337</v>
      </c>
      <c r="K86" s="5">
        <f t="shared" ca="1" si="27"/>
        <v>0.66666666666666674</v>
      </c>
      <c r="L86" s="5">
        <f t="shared" ca="1" si="27"/>
        <v>0</v>
      </c>
      <c r="M86" s="5">
        <f t="shared" ca="1" si="27"/>
        <v>0.33333333333333337</v>
      </c>
      <c r="N86" s="5">
        <f t="shared" ca="1" si="27"/>
        <v>0</v>
      </c>
      <c r="O86" s="2">
        <f t="shared" ca="1" si="27"/>
        <v>1.666666666666667</v>
      </c>
      <c r="P86" s="2">
        <f t="shared" ca="1" si="27"/>
        <v>1.3333333333333335</v>
      </c>
      <c r="Q86" s="2">
        <f t="shared" ca="1" si="27"/>
        <v>1</v>
      </c>
      <c r="R86" s="2">
        <f t="shared" ca="1" si="27"/>
        <v>1</v>
      </c>
      <c r="S86" s="2">
        <f t="shared" ca="1" si="27"/>
        <v>8.3333333333333339</v>
      </c>
      <c r="T86" s="2">
        <f t="shared" ca="1" si="28"/>
        <v>0.33333333333333337</v>
      </c>
      <c r="U86" s="2">
        <f t="shared" ca="1" si="28"/>
        <v>1</v>
      </c>
      <c r="V86" s="2">
        <f t="shared" ca="1" si="28"/>
        <v>2</v>
      </c>
      <c r="W86" s="2">
        <f t="shared" ca="1" si="28"/>
        <v>1.6666666666666667</v>
      </c>
      <c r="X86" s="2">
        <f t="shared" ca="1" si="28"/>
        <v>0.66666666666666674</v>
      </c>
      <c r="Y86" s="2">
        <f t="shared" ca="1" si="28"/>
        <v>4</v>
      </c>
      <c r="Z86" s="3">
        <f t="shared" ca="1" si="28"/>
        <v>62.666666666666671</v>
      </c>
    </row>
    <row r="91" spans="1:26">
      <c r="A91" s="9" t="s">
        <v>26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8"/>
    </row>
    <row r="93" spans="1:26">
      <c r="D93">
        <v>4</v>
      </c>
      <c r="E93">
        <v>5</v>
      </c>
      <c r="F93">
        <v>6</v>
      </c>
      <c r="G93">
        <v>7</v>
      </c>
      <c r="H93">
        <v>8</v>
      </c>
      <c r="I93">
        <v>9</v>
      </c>
      <c r="J93">
        <v>10</v>
      </c>
      <c r="K93">
        <v>11</v>
      </c>
      <c r="L93">
        <v>12</v>
      </c>
      <c r="M93">
        <v>13</v>
      </c>
      <c r="N93">
        <v>14</v>
      </c>
      <c r="O93">
        <v>15</v>
      </c>
      <c r="P93">
        <v>16</v>
      </c>
      <c r="Q93">
        <v>17</v>
      </c>
      <c r="R93">
        <v>18</v>
      </c>
      <c r="S93">
        <v>19</v>
      </c>
      <c r="T93">
        <v>20</v>
      </c>
      <c r="U93">
        <v>21</v>
      </c>
      <c r="V93">
        <v>22</v>
      </c>
      <c r="W93">
        <v>23</v>
      </c>
      <c r="X93">
        <v>24</v>
      </c>
      <c r="Y93">
        <v>25</v>
      </c>
      <c r="Z93">
        <v>26</v>
      </c>
    </row>
    <row r="94" spans="1:26">
      <c r="D94">
        <v>31</v>
      </c>
      <c r="E94">
        <v>32</v>
      </c>
      <c r="F94">
        <v>33</v>
      </c>
      <c r="G94">
        <v>34</v>
      </c>
      <c r="H94">
        <v>35</v>
      </c>
      <c r="I94">
        <v>36</v>
      </c>
      <c r="J94">
        <v>37</v>
      </c>
      <c r="K94">
        <v>38</v>
      </c>
      <c r="L94">
        <v>39</v>
      </c>
      <c r="M94">
        <v>40</v>
      </c>
      <c r="N94">
        <v>41</v>
      </c>
      <c r="O94">
        <v>42</v>
      </c>
      <c r="P94">
        <v>43</v>
      </c>
      <c r="Q94">
        <v>44</v>
      </c>
      <c r="R94">
        <v>45</v>
      </c>
      <c r="S94">
        <v>46</v>
      </c>
      <c r="T94">
        <v>47</v>
      </c>
      <c r="U94">
        <v>48</v>
      </c>
      <c r="V94">
        <v>49</v>
      </c>
      <c r="W94">
        <v>50</v>
      </c>
      <c r="X94">
        <v>51</v>
      </c>
      <c r="Y94">
        <v>52</v>
      </c>
      <c r="Z94">
        <v>53</v>
      </c>
    </row>
    <row r="96" spans="1:26">
      <c r="C96" s="1" t="s">
        <v>23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6</v>
      </c>
      <c r="K96" t="s">
        <v>7</v>
      </c>
      <c r="L96" t="s">
        <v>8</v>
      </c>
      <c r="M96" t="s">
        <v>9</v>
      </c>
      <c r="N96" t="s">
        <v>10</v>
      </c>
      <c r="O96" t="s">
        <v>11</v>
      </c>
      <c r="P96" t="s">
        <v>12</v>
      </c>
      <c r="Q96" t="s">
        <v>13</v>
      </c>
      <c r="R96" t="s">
        <v>14</v>
      </c>
      <c r="S96" t="s">
        <v>15</v>
      </c>
      <c r="T96" t="s">
        <v>16</v>
      </c>
      <c r="U96" t="s">
        <v>17</v>
      </c>
      <c r="V96" t="s">
        <v>18</v>
      </c>
      <c r="W96" t="s">
        <v>19</v>
      </c>
      <c r="X96" t="s">
        <v>20</v>
      </c>
      <c r="Y96" t="s">
        <v>21</v>
      </c>
      <c r="Z96" t="s">
        <v>22</v>
      </c>
    </row>
    <row r="97" spans="1:30">
      <c r="A97">
        <v>31</v>
      </c>
      <c r="B97">
        <v>4</v>
      </c>
      <c r="C97" t="s">
        <v>0</v>
      </c>
      <c r="D97" s="3">
        <f t="shared" ref="D97:M106" ca="1" si="29">MAX(INDIRECT((ADDRESS($A97,D$60))),INDIRECT((ADDRESS(D$61,$B97))))</f>
        <v>26.666666666666668</v>
      </c>
      <c r="E97" s="2">
        <f t="shared" ca="1" si="29"/>
        <v>36.666666666666664</v>
      </c>
      <c r="F97" s="2">
        <f t="shared" ca="1" si="29"/>
        <v>20</v>
      </c>
      <c r="G97" s="2">
        <f t="shared" ca="1" si="29"/>
        <v>6</v>
      </c>
      <c r="H97" s="2">
        <f t="shared" ca="1" si="29"/>
        <v>0.66666666666666674</v>
      </c>
      <c r="I97" s="2">
        <f t="shared" ca="1" si="29"/>
        <v>0.66666666666666674</v>
      </c>
      <c r="J97" s="2">
        <f t="shared" ca="1" si="29"/>
        <v>0.66666666666666674</v>
      </c>
      <c r="K97" s="2">
        <f t="shared" ca="1" si="29"/>
        <v>0</v>
      </c>
      <c r="L97" s="2">
        <f t="shared" ca="1" si="29"/>
        <v>2</v>
      </c>
      <c r="M97" s="2">
        <f t="shared" ca="1" si="29"/>
        <v>0.66666666666666674</v>
      </c>
      <c r="N97" s="2">
        <f t="shared" ref="N97:Z106" ca="1" si="30">MAX(INDIRECT((ADDRESS($A97,N$60))),INDIRECT((ADDRESS(N$61,$B97))))</f>
        <v>0</v>
      </c>
      <c r="O97" s="2">
        <f t="shared" ca="1" si="30"/>
        <v>9.3333333333333339</v>
      </c>
      <c r="P97" s="2">
        <f t="shared" ca="1" si="30"/>
        <v>7.333333333333333</v>
      </c>
      <c r="Q97" s="5">
        <f t="shared" ca="1" si="30"/>
        <v>2</v>
      </c>
      <c r="R97" s="5">
        <f t="shared" ca="1" si="30"/>
        <v>2.666666666666667</v>
      </c>
      <c r="S97" s="5">
        <f t="shared" ca="1" si="30"/>
        <v>19.333333333333332</v>
      </c>
      <c r="T97" s="5">
        <f t="shared" ca="1" si="30"/>
        <v>0</v>
      </c>
      <c r="U97" s="5">
        <f t="shared" ca="1" si="30"/>
        <v>0</v>
      </c>
      <c r="V97" s="5">
        <f t="shared" ca="1" si="30"/>
        <v>2</v>
      </c>
      <c r="W97" s="5">
        <f t="shared" ca="1" si="30"/>
        <v>0</v>
      </c>
      <c r="X97" s="5">
        <f t="shared" ca="1" si="30"/>
        <v>0</v>
      </c>
      <c r="Y97" s="5">
        <f t="shared" ca="1" si="30"/>
        <v>0</v>
      </c>
      <c r="Z97" s="5">
        <f t="shared" ca="1" si="30"/>
        <v>4</v>
      </c>
      <c r="AC97" s="2"/>
      <c r="AD97" s="2"/>
    </row>
    <row r="98" spans="1:30">
      <c r="A98">
        <v>32</v>
      </c>
      <c r="B98">
        <v>5</v>
      </c>
      <c r="C98" t="s">
        <v>1</v>
      </c>
      <c r="D98" s="2">
        <f t="shared" ca="1" si="29"/>
        <v>36.666666666666664</v>
      </c>
      <c r="E98" s="3">
        <f t="shared" ca="1" si="29"/>
        <v>68.666666666666671</v>
      </c>
      <c r="F98" s="2">
        <f t="shared" ca="1" si="29"/>
        <v>16</v>
      </c>
      <c r="G98" s="2">
        <f t="shared" ca="1" si="29"/>
        <v>4</v>
      </c>
      <c r="H98" s="2">
        <f t="shared" ca="1" si="29"/>
        <v>4</v>
      </c>
      <c r="I98" s="2">
        <f t="shared" ca="1" si="29"/>
        <v>0</v>
      </c>
      <c r="J98" s="2">
        <f t="shared" ca="1" si="29"/>
        <v>4.666666666666667</v>
      </c>
      <c r="K98" s="2">
        <f t="shared" ca="1" si="29"/>
        <v>0.66666666666666674</v>
      </c>
      <c r="L98" s="2">
        <f t="shared" ca="1" si="29"/>
        <v>12</v>
      </c>
      <c r="M98" s="2">
        <f t="shared" ca="1" si="29"/>
        <v>0</v>
      </c>
      <c r="N98" s="2">
        <f t="shared" ca="1" si="30"/>
        <v>0.66666666666666674</v>
      </c>
      <c r="O98" s="2">
        <f t="shared" ca="1" si="30"/>
        <v>10.666666666666668</v>
      </c>
      <c r="P98" s="2">
        <f t="shared" ca="1" si="30"/>
        <v>12</v>
      </c>
      <c r="Q98" s="5">
        <f t="shared" ca="1" si="30"/>
        <v>1.3333333333333335</v>
      </c>
      <c r="R98" s="5">
        <f t="shared" ca="1" si="30"/>
        <v>1.3333333333333335</v>
      </c>
      <c r="S98" s="5">
        <f t="shared" ca="1" si="30"/>
        <v>28.000000000000004</v>
      </c>
      <c r="T98" s="5">
        <f t="shared" ca="1" si="30"/>
        <v>0.66666666666666674</v>
      </c>
      <c r="U98" s="5">
        <f t="shared" ca="1" si="30"/>
        <v>0.66666666666666674</v>
      </c>
      <c r="V98" s="5">
        <f t="shared" ca="1" si="30"/>
        <v>0</v>
      </c>
      <c r="W98" s="5">
        <f t="shared" ca="1" si="30"/>
        <v>2</v>
      </c>
      <c r="X98" s="5">
        <f t="shared" ca="1" si="30"/>
        <v>2.666666666666667</v>
      </c>
      <c r="Y98" s="5">
        <f t="shared" ca="1" si="30"/>
        <v>0</v>
      </c>
      <c r="Z98" s="5">
        <f t="shared" ca="1" si="30"/>
        <v>3.3333333333333335</v>
      </c>
      <c r="AC98" s="2"/>
      <c r="AD98" s="2"/>
    </row>
    <row r="99" spans="1:30">
      <c r="A99">
        <v>33</v>
      </c>
      <c r="B99">
        <v>6</v>
      </c>
      <c r="C99" t="s">
        <v>2</v>
      </c>
      <c r="D99" s="2">
        <f t="shared" ca="1" si="29"/>
        <v>20</v>
      </c>
      <c r="E99" s="2">
        <f t="shared" ca="1" si="29"/>
        <v>16</v>
      </c>
      <c r="F99" s="3">
        <f t="shared" ca="1" si="29"/>
        <v>68</v>
      </c>
      <c r="G99" s="2">
        <f t="shared" ca="1" si="29"/>
        <v>4.666666666666667</v>
      </c>
      <c r="H99" s="2">
        <f t="shared" ca="1" si="29"/>
        <v>0.66666666666666674</v>
      </c>
      <c r="I99" s="2">
        <f t="shared" ca="1" si="29"/>
        <v>0.66666666666666674</v>
      </c>
      <c r="J99" s="2">
        <f t="shared" ca="1" si="29"/>
        <v>2.666666666666667</v>
      </c>
      <c r="K99" s="2">
        <f t="shared" ca="1" si="29"/>
        <v>0.66666666666666674</v>
      </c>
      <c r="L99" s="2">
        <f t="shared" ca="1" si="29"/>
        <v>0.66666666666666674</v>
      </c>
      <c r="M99" s="2">
        <f t="shared" ca="1" si="29"/>
        <v>0</v>
      </c>
      <c r="N99" s="2">
        <f t="shared" ca="1" si="30"/>
        <v>0.66666666666666674</v>
      </c>
      <c r="O99" s="2">
        <f t="shared" ca="1" si="30"/>
        <v>6</v>
      </c>
      <c r="P99" s="2">
        <f t="shared" ca="1" si="30"/>
        <v>4.666666666666667</v>
      </c>
      <c r="Q99" s="5">
        <f t="shared" ca="1" si="30"/>
        <v>0.66666666666666674</v>
      </c>
      <c r="R99" s="5">
        <f t="shared" ca="1" si="30"/>
        <v>1.3333333333333335</v>
      </c>
      <c r="S99" s="5">
        <f t="shared" ca="1" si="30"/>
        <v>22</v>
      </c>
      <c r="T99" s="5">
        <f t="shared" ca="1" si="30"/>
        <v>0.66666666666666674</v>
      </c>
      <c r="U99" s="5">
        <f t="shared" ca="1" si="30"/>
        <v>0</v>
      </c>
      <c r="V99" s="5">
        <f t="shared" ca="1" si="30"/>
        <v>0.66666666666666674</v>
      </c>
      <c r="W99" s="5">
        <f t="shared" ca="1" si="30"/>
        <v>0.66666666666666674</v>
      </c>
      <c r="X99" s="5">
        <f t="shared" ca="1" si="30"/>
        <v>0.66666666666666674</v>
      </c>
      <c r="Y99" s="5">
        <f t="shared" ca="1" si="30"/>
        <v>0</v>
      </c>
      <c r="Z99" s="5">
        <f t="shared" ca="1" si="30"/>
        <v>6.666666666666667</v>
      </c>
      <c r="AC99" s="2"/>
      <c r="AD99" s="2"/>
    </row>
    <row r="100" spans="1:30">
      <c r="A100">
        <v>34</v>
      </c>
      <c r="B100">
        <v>7</v>
      </c>
      <c r="C100" t="s">
        <v>3</v>
      </c>
      <c r="D100" s="2">
        <f t="shared" ca="1" si="29"/>
        <v>6</v>
      </c>
      <c r="E100" s="2">
        <f t="shared" ca="1" si="29"/>
        <v>4</v>
      </c>
      <c r="F100" s="2">
        <f t="shared" ca="1" si="29"/>
        <v>4.666666666666667</v>
      </c>
      <c r="G100" s="3">
        <f t="shared" ca="1" si="29"/>
        <v>26</v>
      </c>
      <c r="H100" s="2">
        <f t="shared" ca="1" si="29"/>
        <v>20</v>
      </c>
      <c r="I100" s="2">
        <f t="shared" ca="1" si="29"/>
        <v>6.666666666666667</v>
      </c>
      <c r="J100" s="2">
        <f t="shared" ca="1" si="29"/>
        <v>0.66666666666666674</v>
      </c>
      <c r="K100" s="2">
        <f t="shared" ca="1" si="29"/>
        <v>0.66666666666666674</v>
      </c>
      <c r="L100" s="2">
        <f t="shared" ca="1" si="29"/>
        <v>2</v>
      </c>
      <c r="M100" s="2">
        <f t="shared" ca="1" si="29"/>
        <v>0</v>
      </c>
      <c r="N100" s="2">
        <f t="shared" ca="1" si="30"/>
        <v>1.3333333333333335</v>
      </c>
      <c r="O100" s="2">
        <f t="shared" ca="1" si="30"/>
        <v>8</v>
      </c>
      <c r="P100" s="2">
        <f t="shared" ca="1" si="30"/>
        <v>7.333333333333333</v>
      </c>
      <c r="Q100" s="5">
        <f t="shared" ca="1" si="30"/>
        <v>11.333333333333332</v>
      </c>
      <c r="R100" s="5">
        <f t="shared" ca="1" si="30"/>
        <v>8</v>
      </c>
      <c r="S100" s="5">
        <f t="shared" ca="1" si="30"/>
        <v>0.66666666666666674</v>
      </c>
      <c r="T100" s="5">
        <f t="shared" ca="1" si="30"/>
        <v>0</v>
      </c>
      <c r="U100" s="5">
        <f t="shared" ca="1" si="30"/>
        <v>0</v>
      </c>
      <c r="V100" s="5">
        <f t="shared" ca="1" si="30"/>
        <v>7.333333333333333</v>
      </c>
      <c r="W100" s="5">
        <f t="shared" ca="1" si="30"/>
        <v>1.3333333333333335</v>
      </c>
      <c r="X100" s="5">
        <f t="shared" ca="1" si="30"/>
        <v>1.3333333333333335</v>
      </c>
      <c r="Y100" s="5">
        <f t="shared" ca="1" si="30"/>
        <v>1.3333333333333335</v>
      </c>
      <c r="Z100" s="5">
        <f t="shared" ca="1" si="30"/>
        <v>2.666666666666667</v>
      </c>
      <c r="AC100" s="2"/>
      <c r="AD100" s="2"/>
    </row>
    <row r="101" spans="1:30">
      <c r="A101">
        <v>35</v>
      </c>
      <c r="B101">
        <v>8</v>
      </c>
      <c r="C101" t="s">
        <v>4</v>
      </c>
      <c r="D101" s="2">
        <f t="shared" ca="1" si="29"/>
        <v>0.66666666666666674</v>
      </c>
      <c r="E101" s="2">
        <f t="shared" ca="1" si="29"/>
        <v>4</v>
      </c>
      <c r="F101" s="2">
        <f t="shared" ca="1" si="29"/>
        <v>0.66666666666666674</v>
      </c>
      <c r="G101" s="2">
        <f t="shared" ca="1" si="29"/>
        <v>20</v>
      </c>
      <c r="H101" s="3">
        <f t="shared" ca="1" si="29"/>
        <v>76</v>
      </c>
      <c r="I101" s="2">
        <f t="shared" ca="1" si="29"/>
        <v>14.000000000000002</v>
      </c>
      <c r="J101" s="2">
        <f t="shared" ca="1" si="29"/>
        <v>1.3333333333333335</v>
      </c>
      <c r="K101" s="2">
        <f t="shared" ca="1" si="29"/>
        <v>2</v>
      </c>
      <c r="L101" s="2">
        <f t="shared" ca="1" si="29"/>
        <v>4.666666666666667</v>
      </c>
      <c r="M101" s="2">
        <f t="shared" ca="1" si="29"/>
        <v>0</v>
      </c>
      <c r="N101" s="2">
        <f t="shared" ca="1" si="30"/>
        <v>16</v>
      </c>
      <c r="O101" s="2">
        <f t="shared" ca="1" si="30"/>
        <v>1.3333333333333335</v>
      </c>
      <c r="P101" s="2">
        <f t="shared" ca="1" si="30"/>
        <v>4</v>
      </c>
      <c r="Q101" s="5">
        <f t="shared" ca="1" si="30"/>
        <v>10</v>
      </c>
      <c r="R101" s="5">
        <f t="shared" ca="1" si="30"/>
        <v>8</v>
      </c>
      <c r="S101" s="5">
        <f t="shared" ca="1" si="30"/>
        <v>0</v>
      </c>
      <c r="T101" s="5">
        <f t="shared" ca="1" si="30"/>
        <v>0</v>
      </c>
      <c r="U101" s="5">
        <f t="shared" ca="1" si="30"/>
        <v>0</v>
      </c>
      <c r="V101" s="5">
        <f t="shared" ca="1" si="30"/>
        <v>0.66666666666666674</v>
      </c>
      <c r="W101" s="5">
        <f t="shared" ca="1" si="30"/>
        <v>0.66666666666666674</v>
      </c>
      <c r="X101" s="5">
        <f t="shared" ca="1" si="30"/>
        <v>0.66666666666666674</v>
      </c>
      <c r="Y101" s="5">
        <f t="shared" ca="1" si="30"/>
        <v>0.66666666666666674</v>
      </c>
      <c r="Z101" s="5">
        <f t="shared" ca="1" si="30"/>
        <v>0.66666666666666674</v>
      </c>
      <c r="AC101" s="2"/>
      <c r="AD101" s="2"/>
    </row>
    <row r="102" spans="1:30">
      <c r="A102">
        <v>36</v>
      </c>
      <c r="B102">
        <v>9</v>
      </c>
      <c r="C102" t="s">
        <v>5</v>
      </c>
      <c r="D102" s="2">
        <f t="shared" ca="1" si="29"/>
        <v>0.66666666666666674</v>
      </c>
      <c r="E102" s="2">
        <f t="shared" ca="1" si="29"/>
        <v>0</v>
      </c>
      <c r="F102" s="2">
        <f t="shared" ca="1" si="29"/>
        <v>0.66666666666666674</v>
      </c>
      <c r="G102" s="2">
        <f t="shared" ca="1" si="29"/>
        <v>6.666666666666667</v>
      </c>
      <c r="H102" s="2">
        <f t="shared" ca="1" si="29"/>
        <v>14.000000000000002</v>
      </c>
      <c r="I102" s="3">
        <f t="shared" ca="1" si="29"/>
        <v>49.333333333333336</v>
      </c>
      <c r="J102" s="2">
        <f t="shared" ca="1" si="29"/>
        <v>0</v>
      </c>
      <c r="K102" s="2">
        <f t="shared" ca="1" si="29"/>
        <v>6.666666666666667</v>
      </c>
      <c r="L102" s="2">
        <f t="shared" ca="1" si="29"/>
        <v>2</v>
      </c>
      <c r="M102" s="2">
        <f t="shared" ca="1" si="29"/>
        <v>0</v>
      </c>
      <c r="N102" s="2">
        <f t="shared" ca="1" si="30"/>
        <v>10</v>
      </c>
      <c r="O102" s="2">
        <f t="shared" ca="1" si="30"/>
        <v>0.66666666666666674</v>
      </c>
      <c r="P102" s="2">
        <f t="shared" ca="1" si="30"/>
        <v>3.3333333333333335</v>
      </c>
      <c r="Q102" s="5">
        <f t="shared" ca="1" si="30"/>
        <v>5.3333333333333339</v>
      </c>
      <c r="R102" s="5">
        <f t="shared" ca="1" si="30"/>
        <v>4.666666666666667</v>
      </c>
      <c r="S102" s="5">
        <f t="shared" ca="1" si="30"/>
        <v>1.3333333333333335</v>
      </c>
      <c r="T102" s="5">
        <f t="shared" ca="1" si="30"/>
        <v>0</v>
      </c>
      <c r="U102" s="5">
        <f t="shared" ca="1" si="30"/>
        <v>0</v>
      </c>
      <c r="V102" s="5">
        <f t="shared" ca="1" si="30"/>
        <v>2.666666666666667</v>
      </c>
      <c r="W102" s="5">
        <f t="shared" ca="1" si="30"/>
        <v>4.666666666666667</v>
      </c>
      <c r="X102" s="5">
        <f t="shared" ca="1" si="30"/>
        <v>3.3333333333333335</v>
      </c>
      <c r="Y102" s="5">
        <f t="shared" ca="1" si="30"/>
        <v>11.333333333333332</v>
      </c>
      <c r="Z102" s="5">
        <f t="shared" ca="1" si="30"/>
        <v>2.666666666666667</v>
      </c>
      <c r="AC102" s="2"/>
      <c r="AD102" s="2"/>
    </row>
    <row r="103" spans="1:30">
      <c r="A103">
        <v>37</v>
      </c>
      <c r="B103">
        <v>10</v>
      </c>
      <c r="C103" t="s">
        <v>6</v>
      </c>
      <c r="D103" s="2">
        <f t="shared" ca="1" si="29"/>
        <v>0.66666666666666674</v>
      </c>
      <c r="E103" s="2">
        <f t="shared" ca="1" si="29"/>
        <v>4.666666666666667</v>
      </c>
      <c r="F103" s="2">
        <f t="shared" ca="1" si="29"/>
        <v>2.666666666666667</v>
      </c>
      <c r="G103" s="2">
        <f t="shared" ca="1" si="29"/>
        <v>0.66666666666666674</v>
      </c>
      <c r="H103" s="2">
        <f t="shared" ca="1" si="29"/>
        <v>1.3333333333333335</v>
      </c>
      <c r="I103" s="2">
        <f t="shared" ca="1" si="29"/>
        <v>0</v>
      </c>
      <c r="J103" s="3">
        <f t="shared" ca="1" si="29"/>
        <v>92</v>
      </c>
      <c r="K103" s="2">
        <f t="shared" ca="1" si="29"/>
        <v>2.666666666666667</v>
      </c>
      <c r="L103" s="2">
        <f t="shared" ca="1" si="29"/>
        <v>6</v>
      </c>
      <c r="M103" s="2">
        <f t="shared" ca="1" si="29"/>
        <v>53.333333333333336</v>
      </c>
      <c r="N103" s="2">
        <f t="shared" ca="1" si="30"/>
        <v>0</v>
      </c>
      <c r="O103" s="2">
        <f t="shared" ca="1" si="30"/>
        <v>3.3333333333333335</v>
      </c>
      <c r="P103" s="2">
        <f t="shared" ca="1" si="30"/>
        <v>1.3333333333333335</v>
      </c>
      <c r="Q103" s="5">
        <f t="shared" ca="1" si="30"/>
        <v>0</v>
      </c>
      <c r="R103" s="5">
        <f t="shared" ca="1" si="30"/>
        <v>2</v>
      </c>
      <c r="S103" s="5">
        <f t="shared" ca="1" si="30"/>
        <v>1.3333333333333335</v>
      </c>
      <c r="T103" s="5">
        <f t="shared" ca="1" si="30"/>
        <v>0.66666666666666674</v>
      </c>
      <c r="U103" s="5">
        <f t="shared" ca="1" si="30"/>
        <v>0</v>
      </c>
      <c r="V103" s="5">
        <f t="shared" ca="1" si="30"/>
        <v>0.66666666666666674</v>
      </c>
      <c r="W103" s="5">
        <f t="shared" ca="1" si="30"/>
        <v>0</v>
      </c>
      <c r="X103" s="5">
        <f t="shared" ca="1" si="30"/>
        <v>0.66666666666666674</v>
      </c>
      <c r="Y103" s="5">
        <f t="shared" ca="1" si="30"/>
        <v>0</v>
      </c>
      <c r="Z103" s="5">
        <f t="shared" ca="1" si="30"/>
        <v>0.66666666666666674</v>
      </c>
      <c r="AC103" s="2"/>
      <c r="AD103" s="2"/>
    </row>
    <row r="104" spans="1:30">
      <c r="A104">
        <v>38</v>
      </c>
      <c r="B104">
        <v>11</v>
      </c>
      <c r="C104" t="s">
        <v>7</v>
      </c>
      <c r="D104" s="2">
        <f t="shared" ca="1" si="29"/>
        <v>0</v>
      </c>
      <c r="E104" s="2">
        <f t="shared" ca="1" si="29"/>
        <v>0.66666666666666674</v>
      </c>
      <c r="F104" s="2">
        <f t="shared" ca="1" si="29"/>
        <v>0.66666666666666674</v>
      </c>
      <c r="G104" s="2">
        <f t="shared" ca="1" si="29"/>
        <v>0.66666666666666674</v>
      </c>
      <c r="H104" s="2">
        <f t="shared" ca="1" si="29"/>
        <v>2</v>
      </c>
      <c r="I104" s="2">
        <f t="shared" ca="1" si="29"/>
        <v>6.666666666666667</v>
      </c>
      <c r="J104" s="2">
        <f t="shared" ca="1" si="29"/>
        <v>2.666666666666667</v>
      </c>
      <c r="K104" s="3">
        <f t="shared" ca="1" si="29"/>
        <v>86.666666666666671</v>
      </c>
      <c r="L104" s="2">
        <f t="shared" ca="1" si="29"/>
        <v>2</v>
      </c>
      <c r="M104" s="2">
        <f t="shared" ca="1" si="29"/>
        <v>2</v>
      </c>
      <c r="N104" s="2">
        <f t="shared" ca="1" si="30"/>
        <v>2.666666666666667</v>
      </c>
      <c r="O104" s="2">
        <f t="shared" ca="1" si="30"/>
        <v>0.66666666666666674</v>
      </c>
      <c r="P104" s="2">
        <f t="shared" ca="1" si="30"/>
        <v>0</v>
      </c>
      <c r="Q104" s="5">
        <f t="shared" ca="1" si="30"/>
        <v>0</v>
      </c>
      <c r="R104" s="5">
        <f t="shared" ca="1" si="30"/>
        <v>0</v>
      </c>
      <c r="S104" s="5">
        <f t="shared" ca="1" si="30"/>
        <v>0</v>
      </c>
      <c r="T104" s="5">
        <f t="shared" ca="1" si="30"/>
        <v>0</v>
      </c>
      <c r="U104" s="5">
        <f t="shared" ca="1" si="30"/>
        <v>0</v>
      </c>
      <c r="V104" s="5">
        <f t="shared" ca="1" si="30"/>
        <v>0.66666666666666674</v>
      </c>
      <c r="W104" s="5">
        <f t="shared" ca="1" si="30"/>
        <v>0.66666666666666674</v>
      </c>
      <c r="X104" s="5">
        <f t="shared" ca="1" si="30"/>
        <v>0.66666666666666674</v>
      </c>
      <c r="Y104" s="5">
        <f t="shared" ca="1" si="30"/>
        <v>0</v>
      </c>
      <c r="Z104" s="5">
        <f t="shared" ca="1" si="30"/>
        <v>0.66666666666666674</v>
      </c>
      <c r="AC104" s="2"/>
      <c r="AD104" s="2"/>
    </row>
    <row r="105" spans="1:30">
      <c r="A105">
        <v>39</v>
      </c>
      <c r="B105">
        <v>12</v>
      </c>
      <c r="C105" t="s">
        <v>8</v>
      </c>
      <c r="D105" s="2">
        <f t="shared" ca="1" si="29"/>
        <v>2</v>
      </c>
      <c r="E105" s="2">
        <f t="shared" ca="1" si="29"/>
        <v>12</v>
      </c>
      <c r="F105" s="2">
        <f t="shared" ca="1" si="29"/>
        <v>0.66666666666666674</v>
      </c>
      <c r="G105" s="2">
        <f t="shared" ca="1" si="29"/>
        <v>2</v>
      </c>
      <c r="H105" s="2">
        <f t="shared" ca="1" si="29"/>
        <v>4.666666666666667</v>
      </c>
      <c r="I105" s="2">
        <f t="shared" ca="1" si="29"/>
        <v>2</v>
      </c>
      <c r="J105" s="2">
        <f t="shared" ca="1" si="29"/>
        <v>6</v>
      </c>
      <c r="K105" s="2">
        <f t="shared" ca="1" si="29"/>
        <v>2</v>
      </c>
      <c r="L105" s="3">
        <f t="shared" ca="1" si="29"/>
        <v>36.666666666666664</v>
      </c>
      <c r="M105" s="2">
        <f t="shared" ca="1" si="29"/>
        <v>1.3333333333333335</v>
      </c>
      <c r="N105" s="2">
        <f t="shared" ca="1" si="30"/>
        <v>10.666666666666668</v>
      </c>
      <c r="O105" s="2">
        <f t="shared" ca="1" si="30"/>
        <v>7.333333333333333</v>
      </c>
      <c r="P105" s="2">
        <f t="shared" ca="1" si="30"/>
        <v>8.6666666666666679</v>
      </c>
      <c r="Q105" s="5">
        <f t="shared" ca="1" si="30"/>
        <v>0</v>
      </c>
      <c r="R105" s="5">
        <f t="shared" ca="1" si="30"/>
        <v>4.666666666666667</v>
      </c>
      <c r="S105" s="5">
        <f t="shared" ca="1" si="30"/>
        <v>0</v>
      </c>
      <c r="T105" s="5">
        <f t="shared" ca="1" si="30"/>
        <v>0.66666666666666674</v>
      </c>
      <c r="U105" s="5">
        <f t="shared" ca="1" si="30"/>
        <v>1.3333333333333335</v>
      </c>
      <c r="V105" s="5">
        <f t="shared" ca="1" si="30"/>
        <v>0</v>
      </c>
      <c r="W105" s="5">
        <f t="shared" ca="1" si="30"/>
        <v>0</v>
      </c>
      <c r="X105" s="5">
        <f t="shared" ca="1" si="30"/>
        <v>0.66666666666666674</v>
      </c>
      <c r="Y105" s="5">
        <f t="shared" ca="1" si="30"/>
        <v>0.66666666666666674</v>
      </c>
      <c r="Z105" s="5">
        <f t="shared" ca="1" si="30"/>
        <v>0</v>
      </c>
      <c r="AC105" s="2"/>
      <c r="AD105" s="2"/>
    </row>
    <row r="106" spans="1:30">
      <c r="A106">
        <v>40</v>
      </c>
      <c r="B106">
        <v>13</v>
      </c>
      <c r="C106" t="s">
        <v>9</v>
      </c>
      <c r="D106" s="2">
        <f t="shared" ca="1" si="29"/>
        <v>0.66666666666666674</v>
      </c>
      <c r="E106" s="2">
        <f t="shared" ca="1" si="29"/>
        <v>0</v>
      </c>
      <c r="F106" s="2">
        <f t="shared" ca="1" si="29"/>
        <v>0</v>
      </c>
      <c r="G106" s="2">
        <f t="shared" ca="1" si="29"/>
        <v>0</v>
      </c>
      <c r="H106" s="2">
        <f t="shared" ca="1" si="29"/>
        <v>0</v>
      </c>
      <c r="I106" s="2">
        <f t="shared" ca="1" si="29"/>
        <v>0</v>
      </c>
      <c r="J106" s="2">
        <f t="shared" ca="1" si="29"/>
        <v>53.333333333333336</v>
      </c>
      <c r="K106" s="2">
        <f t="shared" ca="1" si="29"/>
        <v>2</v>
      </c>
      <c r="L106" s="4">
        <f t="shared" ca="1" si="29"/>
        <v>1.3333333333333335</v>
      </c>
      <c r="M106" s="3">
        <f t="shared" ca="1" si="29"/>
        <v>41.333333333333336</v>
      </c>
      <c r="N106" s="2">
        <f t="shared" ca="1" si="30"/>
        <v>0</v>
      </c>
      <c r="O106" s="2">
        <f t="shared" ca="1" si="30"/>
        <v>0.66666666666666674</v>
      </c>
      <c r="P106" s="2">
        <f t="shared" ca="1" si="30"/>
        <v>0</v>
      </c>
      <c r="Q106" s="2">
        <f t="shared" ca="1" si="30"/>
        <v>0.66666666666666674</v>
      </c>
      <c r="R106" s="2">
        <f t="shared" ca="1" si="30"/>
        <v>0.66666666666666674</v>
      </c>
      <c r="S106" s="2">
        <f t="shared" ca="1" si="30"/>
        <v>0</v>
      </c>
      <c r="T106" s="2">
        <f t="shared" ca="1" si="30"/>
        <v>0</v>
      </c>
      <c r="U106" s="2">
        <f t="shared" ca="1" si="30"/>
        <v>0</v>
      </c>
      <c r="V106" s="2">
        <f t="shared" ca="1" si="30"/>
        <v>0</v>
      </c>
      <c r="W106" s="2">
        <f t="shared" ca="1" si="30"/>
        <v>0</v>
      </c>
      <c r="X106" s="2">
        <f t="shared" ca="1" si="30"/>
        <v>0</v>
      </c>
      <c r="Y106" s="2">
        <f t="shared" ca="1" si="30"/>
        <v>0</v>
      </c>
      <c r="Z106" s="2">
        <f t="shared" ca="1" si="30"/>
        <v>0.66666666666666674</v>
      </c>
      <c r="AC106" s="2"/>
      <c r="AD106" s="2"/>
    </row>
    <row r="107" spans="1:30">
      <c r="A107">
        <v>41</v>
      </c>
      <c r="B107">
        <v>14</v>
      </c>
      <c r="C107" t="s">
        <v>10</v>
      </c>
      <c r="D107" s="2">
        <f t="shared" ref="D107:M119" ca="1" si="31">MAX(INDIRECT((ADDRESS($A107,D$60))),INDIRECT((ADDRESS(D$61,$B107))))</f>
        <v>0</v>
      </c>
      <c r="E107" s="2">
        <f t="shared" ca="1" si="31"/>
        <v>0.66666666666666674</v>
      </c>
      <c r="F107" s="2">
        <f t="shared" ca="1" si="31"/>
        <v>0.66666666666666674</v>
      </c>
      <c r="G107" s="2">
        <f t="shared" ca="1" si="31"/>
        <v>1.3333333333333335</v>
      </c>
      <c r="H107" s="2">
        <f t="shared" ca="1" si="31"/>
        <v>16</v>
      </c>
      <c r="I107" s="2">
        <f t="shared" ca="1" si="31"/>
        <v>10</v>
      </c>
      <c r="J107" s="2">
        <f t="shared" ca="1" si="31"/>
        <v>0</v>
      </c>
      <c r="K107" s="2">
        <f t="shared" ca="1" si="31"/>
        <v>2.666666666666667</v>
      </c>
      <c r="L107" s="2">
        <f t="shared" ca="1" si="31"/>
        <v>10.666666666666668</v>
      </c>
      <c r="M107" s="2">
        <f t="shared" ca="1" si="31"/>
        <v>0</v>
      </c>
      <c r="N107" s="3">
        <f t="shared" ref="N107:Z119" ca="1" si="32">MAX(INDIRECT((ADDRESS($A107,N$60))),INDIRECT((ADDRESS(N$61,$B107))))</f>
        <v>30</v>
      </c>
      <c r="O107" s="2">
        <f t="shared" ca="1" si="32"/>
        <v>2.666666666666667</v>
      </c>
      <c r="P107" s="2">
        <f t="shared" ca="1" si="32"/>
        <v>8</v>
      </c>
      <c r="Q107" s="2">
        <f t="shared" ca="1" si="32"/>
        <v>6</v>
      </c>
      <c r="R107" s="2">
        <f t="shared" ca="1" si="32"/>
        <v>14.000000000000002</v>
      </c>
      <c r="S107" s="2">
        <f t="shared" ca="1" si="32"/>
        <v>0</v>
      </c>
      <c r="T107" s="2">
        <f t="shared" ca="1" si="32"/>
        <v>0</v>
      </c>
      <c r="U107" s="2">
        <f t="shared" ca="1" si="32"/>
        <v>0</v>
      </c>
      <c r="V107" s="2">
        <f t="shared" ca="1" si="32"/>
        <v>0.66666666666666674</v>
      </c>
      <c r="W107" s="2">
        <f t="shared" ca="1" si="32"/>
        <v>2</v>
      </c>
      <c r="X107" s="2">
        <f t="shared" ca="1" si="32"/>
        <v>0.66666666666666674</v>
      </c>
      <c r="Y107" s="2">
        <f t="shared" ca="1" si="32"/>
        <v>1.3333333333333335</v>
      </c>
      <c r="Z107" s="2">
        <f t="shared" ca="1" si="32"/>
        <v>0</v>
      </c>
      <c r="AC107" s="2"/>
      <c r="AD107" s="2"/>
    </row>
    <row r="108" spans="1:30">
      <c r="A108">
        <v>42</v>
      </c>
      <c r="B108">
        <v>15</v>
      </c>
      <c r="C108" t="s">
        <v>11</v>
      </c>
      <c r="D108" s="2">
        <f t="shared" ca="1" si="31"/>
        <v>9.3333333333333339</v>
      </c>
      <c r="E108" s="2">
        <f t="shared" ca="1" si="31"/>
        <v>10.666666666666668</v>
      </c>
      <c r="F108" s="2">
        <f t="shared" ca="1" si="31"/>
        <v>6</v>
      </c>
      <c r="G108" s="2">
        <f t="shared" ca="1" si="31"/>
        <v>8</v>
      </c>
      <c r="H108" s="2">
        <f t="shared" ca="1" si="31"/>
        <v>1.3333333333333335</v>
      </c>
      <c r="I108" s="2">
        <f t="shared" ca="1" si="31"/>
        <v>0.66666666666666674</v>
      </c>
      <c r="J108" s="2">
        <f t="shared" ca="1" si="31"/>
        <v>3.3333333333333335</v>
      </c>
      <c r="K108" s="2">
        <f t="shared" ca="1" si="31"/>
        <v>0.66666666666666674</v>
      </c>
      <c r="L108" s="2">
        <f t="shared" ca="1" si="31"/>
        <v>7.333333333333333</v>
      </c>
      <c r="M108" s="2">
        <f t="shared" ca="1" si="31"/>
        <v>0.66666666666666674</v>
      </c>
      <c r="N108" s="2">
        <f t="shared" ca="1" si="32"/>
        <v>2.666666666666667</v>
      </c>
      <c r="O108" s="3">
        <f t="shared" ca="1" si="32"/>
        <v>36</v>
      </c>
      <c r="P108" s="2">
        <f t="shared" ca="1" si="32"/>
        <v>24</v>
      </c>
      <c r="Q108" s="2">
        <f t="shared" ca="1" si="32"/>
        <v>2.666666666666667</v>
      </c>
      <c r="R108" s="2">
        <f t="shared" ca="1" si="32"/>
        <v>4</v>
      </c>
      <c r="S108" s="2">
        <f t="shared" ca="1" si="32"/>
        <v>3.3333333333333335</v>
      </c>
      <c r="T108" s="2">
        <f t="shared" ca="1" si="32"/>
        <v>0</v>
      </c>
      <c r="U108" s="2">
        <f t="shared" ca="1" si="32"/>
        <v>0.66666666666666674</v>
      </c>
      <c r="V108" s="2">
        <f t="shared" ca="1" si="32"/>
        <v>3.3333333333333335</v>
      </c>
      <c r="W108" s="2">
        <f t="shared" ca="1" si="32"/>
        <v>0.66666666666666674</v>
      </c>
      <c r="X108" s="2">
        <f t="shared" ca="1" si="32"/>
        <v>0.66666666666666674</v>
      </c>
      <c r="Y108" s="2">
        <f t="shared" ca="1" si="32"/>
        <v>0</v>
      </c>
      <c r="Z108" s="2">
        <f t="shared" ca="1" si="32"/>
        <v>2.666666666666667</v>
      </c>
      <c r="AC108" s="2"/>
      <c r="AD108" s="2"/>
    </row>
    <row r="109" spans="1:30">
      <c r="A109">
        <v>43</v>
      </c>
      <c r="B109">
        <v>16</v>
      </c>
      <c r="C109" t="s">
        <v>12</v>
      </c>
      <c r="D109" s="2">
        <f t="shared" ca="1" si="31"/>
        <v>7.333333333333333</v>
      </c>
      <c r="E109" s="2">
        <f t="shared" ca="1" si="31"/>
        <v>12</v>
      </c>
      <c r="F109" s="2">
        <f t="shared" ca="1" si="31"/>
        <v>4.666666666666667</v>
      </c>
      <c r="G109" s="2">
        <f t="shared" ca="1" si="31"/>
        <v>7.333333333333333</v>
      </c>
      <c r="H109" s="2">
        <f t="shared" ca="1" si="31"/>
        <v>4</v>
      </c>
      <c r="I109" s="2">
        <f t="shared" ca="1" si="31"/>
        <v>3.3333333333333335</v>
      </c>
      <c r="J109" s="2">
        <f t="shared" ca="1" si="31"/>
        <v>1.3333333333333335</v>
      </c>
      <c r="K109" s="2">
        <f t="shared" ca="1" si="31"/>
        <v>0</v>
      </c>
      <c r="L109" s="2">
        <f t="shared" ca="1" si="31"/>
        <v>8.6666666666666679</v>
      </c>
      <c r="M109" s="2">
        <f t="shared" ca="1" si="31"/>
        <v>0</v>
      </c>
      <c r="N109" s="2">
        <f t="shared" ca="1" si="32"/>
        <v>8</v>
      </c>
      <c r="O109" s="2">
        <f t="shared" ca="1" si="32"/>
        <v>24</v>
      </c>
      <c r="P109" s="3">
        <f t="shared" ca="1" si="32"/>
        <v>13.333333333333334</v>
      </c>
      <c r="Q109" s="2">
        <f t="shared" ca="1" si="32"/>
        <v>11.333333333333332</v>
      </c>
      <c r="R109" s="2">
        <f t="shared" ca="1" si="32"/>
        <v>10.666666666666668</v>
      </c>
      <c r="S109" s="2">
        <f t="shared" ca="1" si="32"/>
        <v>2</v>
      </c>
      <c r="T109" s="2">
        <f t="shared" ca="1" si="32"/>
        <v>0</v>
      </c>
      <c r="U109" s="2">
        <f t="shared" ca="1" si="32"/>
        <v>0.66666666666666674</v>
      </c>
      <c r="V109" s="2">
        <f t="shared" ca="1" si="32"/>
        <v>0</v>
      </c>
      <c r="W109" s="2">
        <f t="shared" ca="1" si="32"/>
        <v>0</v>
      </c>
      <c r="X109" s="2">
        <f t="shared" ca="1" si="32"/>
        <v>0</v>
      </c>
      <c r="Y109" s="2">
        <f t="shared" ca="1" si="32"/>
        <v>0</v>
      </c>
      <c r="Z109" s="2">
        <f t="shared" ca="1" si="32"/>
        <v>1.3333333333333335</v>
      </c>
    </row>
    <row r="110" spans="1:30">
      <c r="A110">
        <v>44</v>
      </c>
      <c r="B110">
        <v>17</v>
      </c>
      <c r="C110" t="s">
        <v>13</v>
      </c>
      <c r="D110" s="5">
        <f t="shared" ca="1" si="31"/>
        <v>2</v>
      </c>
      <c r="E110" s="5">
        <f t="shared" ca="1" si="31"/>
        <v>1.3333333333333335</v>
      </c>
      <c r="F110" s="5">
        <f t="shared" ca="1" si="31"/>
        <v>0.66666666666666674</v>
      </c>
      <c r="G110" s="5">
        <f t="shared" ca="1" si="31"/>
        <v>11.333333333333332</v>
      </c>
      <c r="H110" s="5">
        <f t="shared" ca="1" si="31"/>
        <v>10</v>
      </c>
      <c r="I110" s="5">
        <f t="shared" ca="1" si="31"/>
        <v>5.3333333333333339</v>
      </c>
      <c r="J110" s="5">
        <f t="shared" ca="1" si="31"/>
        <v>0</v>
      </c>
      <c r="K110" s="5">
        <f t="shared" ca="1" si="31"/>
        <v>0</v>
      </c>
      <c r="L110" s="5">
        <f t="shared" ca="1" si="31"/>
        <v>0</v>
      </c>
      <c r="M110" s="5">
        <f t="shared" ca="1" si="31"/>
        <v>0.66666666666666674</v>
      </c>
      <c r="N110" s="5">
        <f t="shared" ca="1" si="32"/>
        <v>6</v>
      </c>
      <c r="O110" s="2">
        <f t="shared" ca="1" si="32"/>
        <v>2.666666666666667</v>
      </c>
      <c r="P110" s="2">
        <f t="shared" ca="1" si="32"/>
        <v>11.333333333333332</v>
      </c>
      <c r="Q110" s="3">
        <f t="shared" ca="1" si="32"/>
        <v>22.666666666666664</v>
      </c>
      <c r="R110" s="2">
        <f t="shared" ca="1" si="32"/>
        <v>20.666666666666668</v>
      </c>
      <c r="S110" s="2">
        <f t="shared" ca="1" si="32"/>
        <v>0.66666666666666674</v>
      </c>
      <c r="T110" s="2">
        <f t="shared" ca="1" si="32"/>
        <v>0.66666666666666674</v>
      </c>
      <c r="U110" s="2">
        <f t="shared" ca="1" si="32"/>
        <v>0.66666666666666674</v>
      </c>
      <c r="V110" s="2">
        <f t="shared" ca="1" si="32"/>
        <v>6</v>
      </c>
      <c r="W110" s="2">
        <f t="shared" ca="1" si="32"/>
        <v>1.3333333333333335</v>
      </c>
      <c r="X110" s="2">
        <f t="shared" ca="1" si="32"/>
        <v>1.3333333333333335</v>
      </c>
      <c r="Y110" s="2">
        <f t="shared" ca="1" si="32"/>
        <v>2</v>
      </c>
      <c r="Z110" s="2">
        <f t="shared" ca="1" si="32"/>
        <v>1.3333333333333335</v>
      </c>
      <c r="AC110" s="2"/>
      <c r="AD110" s="2"/>
    </row>
    <row r="111" spans="1:30">
      <c r="A111">
        <v>45</v>
      </c>
      <c r="B111">
        <v>18</v>
      </c>
      <c r="C111" t="s">
        <v>14</v>
      </c>
      <c r="D111" s="5">
        <f t="shared" ca="1" si="31"/>
        <v>2.666666666666667</v>
      </c>
      <c r="E111" s="5">
        <f t="shared" ca="1" si="31"/>
        <v>1.3333333333333335</v>
      </c>
      <c r="F111" s="5">
        <f t="shared" ca="1" si="31"/>
        <v>1.3333333333333335</v>
      </c>
      <c r="G111" s="5">
        <f t="shared" ca="1" si="31"/>
        <v>8</v>
      </c>
      <c r="H111" s="5">
        <f t="shared" ca="1" si="31"/>
        <v>8</v>
      </c>
      <c r="I111" s="5">
        <f t="shared" ca="1" si="31"/>
        <v>4.666666666666667</v>
      </c>
      <c r="J111" s="5">
        <f t="shared" ca="1" si="31"/>
        <v>2</v>
      </c>
      <c r="K111" s="5">
        <f t="shared" ca="1" si="31"/>
        <v>0</v>
      </c>
      <c r="L111" s="5">
        <f t="shared" ca="1" si="31"/>
        <v>4.666666666666667</v>
      </c>
      <c r="M111" s="5">
        <f t="shared" ca="1" si="31"/>
        <v>0.66666666666666674</v>
      </c>
      <c r="N111" s="5">
        <f t="shared" ca="1" si="32"/>
        <v>14.000000000000002</v>
      </c>
      <c r="O111" s="2">
        <f t="shared" ca="1" si="32"/>
        <v>4</v>
      </c>
      <c r="P111" s="2">
        <f t="shared" ca="1" si="32"/>
        <v>10.666666666666668</v>
      </c>
      <c r="Q111" s="2">
        <f t="shared" ca="1" si="32"/>
        <v>20.666666666666668</v>
      </c>
      <c r="R111" s="3">
        <f t="shared" ca="1" si="32"/>
        <v>30</v>
      </c>
      <c r="S111" s="2">
        <f t="shared" ca="1" si="32"/>
        <v>0.66666666666666674</v>
      </c>
      <c r="T111" s="2">
        <f t="shared" ca="1" si="32"/>
        <v>1.3333333333333335</v>
      </c>
      <c r="U111" s="2">
        <f t="shared" ca="1" si="32"/>
        <v>1.3333333333333335</v>
      </c>
      <c r="V111" s="2">
        <f t="shared" ca="1" si="32"/>
        <v>3.3333333333333335</v>
      </c>
      <c r="W111" s="2">
        <f t="shared" ca="1" si="32"/>
        <v>2.666666666666667</v>
      </c>
      <c r="X111" s="2">
        <f t="shared" ca="1" si="32"/>
        <v>1.3333333333333335</v>
      </c>
      <c r="Y111" s="2">
        <f t="shared" ca="1" si="32"/>
        <v>0</v>
      </c>
      <c r="Z111" s="2">
        <f t="shared" ca="1" si="32"/>
        <v>1.3333333333333335</v>
      </c>
      <c r="AC111" s="2"/>
      <c r="AD111" s="2"/>
    </row>
    <row r="112" spans="1:30">
      <c r="A112">
        <v>46</v>
      </c>
      <c r="B112">
        <v>19</v>
      </c>
      <c r="C112" t="s">
        <v>15</v>
      </c>
      <c r="D112" s="5">
        <f t="shared" ca="1" si="31"/>
        <v>19.333333333333332</v>
      </c>
      <c r="E112" s="5">
        <f t="shared" ca="1" si="31"/>
        <v>28.000000000000004</v>
      </c>
      <c r="F112" s="5">
        <f t="shared" ca="1" si="31"/>
        <v>22</v>
      </c>
      <c r="G112" s="5">
        <f t="shared" ca="1" si="31"/>
        <v>0.66666666666666674</v>
      </c>
      <c r="H112" s="5">
        <f t="shared" ca="1" si="31"/>
        <v>0</v>
      </c>
      <c r="I112" s="5">
        <f t="shared" ca="1" si="31"/>
        <v>1.3333333333333335</v>
      </c>
      <c r="J112" s="5">
        <f t="shared" ca="1" si="31"/>
        <v>1.3333333333333335</v>
      </c>
      <c r="K112" s="5">
        <f t="shared" ca="1" si="31"/>
        <v>0</v>
      </c>
      <c r="L112" s="5">
        <f t="shared" ca="1" si="31"/>
        <v>0</v>
      </c>
      <c r="M112" s="5">
        <f t="shared" ca="1" si="31"/>
        <v>0</v>
      </c>
      <c r="N112" s="5">
        <f t="shared" ca="1" si="32"/>
        <v>0</v>
      </c>
      <c r="O112" s="2">
        <f t="shared" ca="1" si="32"/>
        <v>3.3333333333333335</v>
      </c>
      <c r="P112" s="2">
        <f t="shared" ca="1" si="32"/>
        <v>2</v>
      </c>
      <c r="Q112" s="2">
        <f t="shared" ca="1" si="32"/>
        <v>0.66666666666666674</v>
      </c>
      <c r="R112" s="2">
        <f t="shared" ca="1" si="32"/>
        <v>0.66666666666666674</v>
      </c>
      <c r="S112" s="3">
        <f t="shared" ca="1" si="32"/>
        <v>12.666666666666668</v>
      </c>
      <c r="T112" s="2">
        <f t="shared" ca="1" si="32"/>
        <v>1.3333333333333335</v>
      </c>
      <c r="U112" s="2">
        <f t="shared" ca="1" si="32"/>
        <v>0</v>
      </c>
      <c r="V112" s="2">
        <f t="shared" ca="1" si="32"/>
        <v>1.3333333333333335</v>
      </c>
      <c r="W112" s="2">
        <f t="shared" ca="1" si="32"/>
        <v>0</v>
      </c>
      <c r="X112" s="2">
        <f t="shared" ca="1" si="32"/>
        <v>1.3333333333333335</v>
      </c>
      <c r="Y112" s="2">
        <f t="shared" ca="1" si="32"/>
        <v>0.66666666666666674</v>
      </c>
      <c r="Z112" s="2">
        <f t="shared" ca="1" si="32"/>
        <v>9.3333333333333339</v>
      </c>
      <c r="AC112" s="2"/>
      <c r="AD112" s="2"/>
    </row>
    <row r="113" spans="1:30">
      <c r="A113">
        <v>47</v>
      </c>
      <c r="B113">
        <v>20</v>
      </c>
      <c r="C113" t="s">
        <v>16</v>
      </c>
      <c r="D113" s="5">
        <f t="shared" ca="1" si="31"/>
        <v>0</v>
      </c>
      <c r="E113" s="5">
        <f t="shared" ca="1" si="31"/>
        <v>0.66666666666666674</v>
      </c>
      <c r="F113" s="5">
        <f t="shared" ca="1" si="31"/>
        <v>0.66666666666666674</v>
      </c>
      <c r="G113" s="5">
        <f t="shared" ca="1" si="31"/>
        <v>0</v>
      </c>
      <c r="H113" s="5">
        <f t="shared" ca="1" si="31"/>
        <v>0</v>
      </c>
      <c r="I113" s="5">
        <f t="shared" ca="1" si="31"/>
        <v>0</v>
      </c>
      <c r="J113" s="5">
        <f t="shared" ca="1" si="31"/>
        <v>0.66666666666666674</v>
      </c>
      <c r="K113" s="5">
        <f t="shared" ca="1" si="31"/>
        <v>0</v>
      </c>
      <c r="L113" s="5">
        <f t="shared" ca="1" si="31"/>
        <v>0.66666666666666674</v>
      </c>
      <c r="M113" s="5">
        <f t="shared" ca="1" si="31"/>
        <v>0</v>
      </c>
      <c r="N113" s="5">
        <f t="shared" ca="1" si="32"/>
        <v>0</v>
      </c>
      <c r="O113" s="2">
        <f t="shared" ca="1" si="32"/>
        <v>0</v>
      </c>
      <c r="P113" s="2">
        <f t="shared" ca="1" si="32"/>
        <v>0</v>
      </c>
      <c r="Q113" s="2">
        <f t="shared" ca="1" si="32"/>
        <v>0.66666666666666674</v>
      </c>
      <c r="R113" s="2">
        <f t="shared" ca="1" si="32"/>
        <v>1.3333333333333335</v>
      </c>
      <c r="S113" s="2">
        <f t="shared" ca="1" si="32"/>
        <v>1.3333333333333335</v>
      </c>
      <c r="T113" s="3">
        <f t="shared" ca="1" si="32"/>
        <v>78.666666666666657</v>
      </c>
      <c r="U113" s="2">
        <f t="shared" ca="1" si="32"/>
        <v>17.333333333333336</v>
      </c>
      <c r="V113" s="2">
        <f t="shared" ca="1" si="32"/>
        <v>1.3333333333333335</v>
      </c>
      <c r="W113" s="2">
        <f t="shared" ca="1" si="32"/>
        <v>0</v>
      </c>
      <c r="X113" s="2">
        <f t="shared" ca="1" si="32"/>
        <v>0.66666666666666674</v>
      </c>
      <c r="Y113" s="2">
        <f t="shared" ca="1" si="32"/>
        <v>2</v>
      </c>
      <c r="Z113" s="2">
        <f t="shared" ca="1" si="32"/>
        <v>0.66666666666666674</v>
      </c>
      <c r="AC113" s="2"/>
      <c r="AD113" s="2"/>
    </row>
    <row r="114" spans="1:30">
      <c r="A114">
        <v>48</v>
      </c>
      <c r="B114">
        <v>21</v>
      </c>
      <c r="C114" t="s">
        <v>17</v>
      </c>
      <c r="D114" s="5">
        <f t="shared" ca="1" si="31"/>
        <v>0</v>
      </c>
      <c r="E114" s="5">
        <f t="shared" ca="1" si="31"/>
        <v>0.66666666666666674</v>
      </c>
      <c r="F114" s="5">
        <f t="shared" ca="1" si="31"/>
        <v>0</v>
      </c>
      <c r="G114" s="5">
        <f t="shared" ca="1" si="31"/>
        <v>0</v>
      </c>
      <c r="H114" s="5">
        <f t="shared" ca="1" si="31"/>
        <v>0</v>
      </c>
      <c r="I114" s="5">
        <f t="shared" ca="1" si="31"/>
        <v>0</v>
      </c>
      <c r="J114" s="5">
        <f t="shared" ca="1" si="31"/>
        <v>0</v>
      </c>
      <c r="K114" s="5">
        <f t="shared" ca="1" si="31"/>
        <v>0</v>
      </c>
      <c r="L114" s="5">
        <f t="shared" ca="1" si="31"/>
        <v>1.3333333333333335</v>
      </c>
      <c r="M114" s="5">
        <f t="shared" ca="1" si="31"/>
        <v>0</v>
      </c>
      <c r="N114" s="5">
        <f t="shared" ca="1" si="32"/>
        <v>0</v>
      </c>
      <c r="O114" s="2">
        <f t="shared" ca="1" si="32"/>
        <v>0.66666666666666674</v>
      </c>
      <c r="P114" s="2">
        <f t="shared" ca="1" si="32"/>
        <v>0.66666666666666674</v>
      </c>
      <c r="Q114" s="2">
        <f t="shared" ca="1" si="32"/>
        <v>0.66666666666666674</v>
      </c>
      <c r="R114" s="2">
        <f t="shared" ca="1" si="32"/>
        <v>1.3333333333333335</v>
      </c>
      <c r="S114" s="2">
        <f t="shared" ca="1" si="32"/>
        <v>0</v>
      </c>
      <c r="T114" s="2">
        <f t="shared" ca="1" si="32"/>
        <v>17.333333333333336</v>
      </c>
      <c r="U114" s="3">
        <f t="shared" ca="1" si="32"/>
        <v>84</v>
      </c>
      <c r="V114" s="2">
        <f t="shared" ca="1" si="32"/>
        <v>2</v>
      </c>
      <c r="W114" s="2">
        <f t="shared" ca="1" si="32"/>
        <v>0.66666666666666674</v>
      </c>
      <c r="X114" s="2">
        <f t="shared" ca="1" si="32"/>
        <v>0</v>
      </c>
      <c r="Y114" s="2">
        <f t="shared" ca="1" si="32"/>
        <v>0.66666666666666674</v>
      </c>
      <c r="Z114" s="2">
        <f t="shared" ca="1" si="32"/>
        <v>1.3333333333333335</v>
      </c>
      <c r="AC114" s="2"/>
      <c r="AD114" s="2"/>
    </row>
    <row r="115" spans="1:30">
      <c r="A115">
        <v>49</v>
      </c>
      <c r="B115">
        <v>22</v>
      </c>
      <c r="C115" t="s">
        <v>18</v>
      </c>
      <c r="D115" s="5">
        <f t="shared" ca="1" si="31"/>
        <v>2</v>
      </c>
      <c r="E115" s="5">
        <f t="shared" ca="1" si="31"/>
        <v>0</v>
      </c>
      <c r="F115" s="5">
        <f t="shared" ca="1" si="31"/>
        <v>0.66666666666666674</v>
      </c>
      <c r="G115" s="5">
        <f t="shared" ca="1" si="31"/>
        <v>7.333333333333333</v>
      </c>
      <c r="H115" s="5">
        <f t="shared" ca="1" si="31"/>
        <v>0.66666666666666674</v>
      </c>
      <c r="I115" s="5">
        <f t="shared" ca="1" si="31"/>
        <v>2.666666666666667</v>
      </c>
      <c r="J115" s="5">
        <f t="shared" ca="1" si="31"/>
        <v>0.66666666666666674</v>
      </c>
      <c r="K115" s="5">
        <f t="shared" ca="1" si="31"/>
        <v>0.66666666666666674</v>
      </c>
      <c r="L115" s="5">
        <f t="shared" ca="1" si="31"/>
        <v>0</v>
      </c>
      <c r="M115" s="5">
        <f t="shared" ca="1" si="31"/>
        <v>0</v>
      </c>
      <c r="N115" s="5">
        <f t="shared" ca="1" si="32"/>
        <v>0.66666666666666674</v>
      </c>
      <c r="O115" s="2">
        <f t="shared" ca="1" si="32"/>
        <v>3.3333333333333335</v>
      </c>
      <c r="P115" s="2">
        <f t="shared" ca="1" si="32"/>
        <v>0</v>
      </c>
      <c r="Q115" s="2">
        <f t="shared" ca="1" si="32"/>
        <v>6</v>
      </c>
      <c r="R115" s="2">
        <f t="shared" ca="1" si="32"/>
        <v>3.3333333333333335</v>
      </c>
      <c r="S115" s="2">
        <f t="shared" ca="1" si="32"/>
        <v>1.3333333333333335</v>
      </c>
      <c r="T115" s="2">
        <f t="shared" ca="1" si="32"/>
        <v>1.3333333333333335</v>
      </c>
      <c r="U115" s="2">
        <f t="shared" ca="1" si="32"/>
        <v>2</v>
      </c>
      <c r="V115" s="3">
        <f t="shared" ca="1" si="32"/>
        <v>71.333333333333343</v>
      </c>
      <c r="W115" s="2">
        <f t="shared" ca="1" si="32"/>
        <v>20</v>
      </c>
      <c r="X115" s="2">
        <f t="shared" ca="1" si="32"/>
        <v>9.3333333333333339</v>
      </c>
      <c r="Y115" s="2">
        <f t="shared" ca="1" si="32"/>
        <v>2</v>
      </c>
      <c r="Z115" s="2">
        <f t="shared" ca="1" si="32"/>
        <v>2</v>
      </c>
      <c r="AC115" s="2"/>
      <c r="AD115" s="2"/>
    </row>
    <row r="116" spans="1:30">
      <c r="A116">
        <v>50</v>
      </c>
      <c r="B116">
        <v>23</v>
      </c>
      <c r="C116" t="s">
        <v>19</v>
      </c>
      <c r="D116" s="5">
        <f t="shared" ca="1" si="31"/>
        <v>0</v>
      </c>
      <c r="E116" s="5">
        <f t="shared" ca="1" si="31"/>
        <v>2</v>
      </c>
      <c r="F116" s="5">
        <f t="shared" ca="1" si="31"/>
        <v>0.66666666666666674</v>
      </c>
      <c r="G116" s="5">
        <f t="shared" ca="1" si="31"/>
        <v>1.3333333333333335</v>
      </c>
      <c r="H116" s="5">
        <f t="shared" ca="1" si="31"/>
        <v>0.66666666666666674</v>
      </c>
      <c r="I116" s="5">
        <f t="shared" ca="1" si="31"/>
        <v>4.666666666666667</v>
      </c>
      <c r="J116" s="5">
        <f t="shared" ca="1" si="31"/>
        <v>0</v>
      </c>
      <c r="K116" s="5">
        <f t="shared" ca="1" si="31"/>
        <v>0.66666666666666674</v>
      </c>
      <c r="L116" s="5">
        <f t="shared" ca="1" si="31"/>
        <v>0</v>
      </c>
      <c r="M116" s="5">
        <f t="shared" ca="1" si="31"/>
        <v>0</v>
      </c>
      <c r="N116" s="5">
        <f t="shared" ca="1" si="32"/>
        <v>2</v>
      </c>
      <c r="O116" s="2">
        <f t="shared" ca="1" si="32"/>
        <v>0.66666666666666674</v>
      </c>
      <c r="P116" s="2">
        <f t="shared" ca="1" si="32"/>
        <v>0</v>
      </c>
      <c r="Q116" s="2">
        <f t="shared" ca="1" si="32"/>
        <v>1.3333333333333335</v>
      </c>
      <c r="R116" s="2">
        <f t="shared" ca="1" si="32"/>
        <v>2.666666666666667</v>
      </c>
      <c r="S116" s="2">
        <f t="shared" ca="1" si="32"/>
        <v>0</v>
      </c>
      <c r="T116" s="2">
        <f t="shared" ca="1" si="32"/>
        <v>0</v>
      </c>
      <c r="U116" s="2">
        <f t="shared" ca="1" si="32"/>
        <v>0.66666666666666674</v>
      </c>
      <c r="V116" s="2">
        <f t="shared" ca="1" si="32"/>
        <v>20</v>
      </c>
      <c r="W116" s="3">
        <f t="shared" ca="1" si="32"/>
        <v>45.333333333333329</v>
      </c>
      <c r="X116" s="2">
        <f t="shared" ca="1" si="32"/>
        <v>14.666666666666666</v>
      </c>
      <c r="Y116" s="2">
        <f t="shared" ca="1" si="32"/>
        <v>13.333333333333334</v>
      </c>
      <c r="Z116" s="2">
        <f t="shared" ca="1" si="32"/>
        <v>2</v>
      </c>
      <c r="AC116" s="2"/>
      <c r="AD116" s="2"/>
    </row>
    <row r="117" spans="1:30">
      <c r="A117">
        <v>51</v>
      </c>
      <c r="B117">
        <v>24</v>
      </c>
      <c r="C117" t="s">
        <v>20</v>
      </c>
      <c r="D117" s="5">
        <f t="shared" ca="1" si="31"/>
        <v>0</v>
      </c>
      <c r="E117" s="5">
        <f t="shared" ca="1" si="31"/>
        <v>2.666666666666667</v>
      </c>
      <c r="F117" s="5">
        <f t="shared" ca="1" si="31"/>
        <v>0.66666666666666674</v>
      </c>
      <c r="G117" s="5">
        <f t="shared" ca="1" si="31"/>
        <v>1.3333333333333335</v>
      </c>
      <c r="H117" s="5">
        <f t="shared" ca="1" si="31"/>
        <v>0.66666666666666674</v>
      </c>
      <c r="I117" s="5">
        <f t="shared" ca="1" si="31"/>
        <v>3.3333333333333335</v>
      </c>
      <c r="J117" s="5">
        <f t="shared" ca="1" si="31"/>
        <v>0.66666666666666674</v>
      </c>
      <c r="K117" s="5">
        <f t="shared" ca="1" si="31"/>
        <v>0.66666666666666674</v>
      </c>
      <c r="L117" s="5">
        <f t="shared" ca="1" si="31"/>
        <v>0.66666666666666674</v>
      </c>
      <c r="M117" s="5">
        <f t="shared" ca="1" si="31"/>
        <v>0</v>
      </c>
      <c r="N117" s="5">
        <f t="shared" ca="1" si="32"/>
        <v>0.66666666666666674</v>
      </c>
      <c r="O117" s="2">
        <f t="shared" ca="1" si="32"/>
        <v>0.66666666666666674</v>
      </c>
      <c r="P117" s="2">
        <f t="shared" ca="1" si="32"/>
        <v>0</v>
      </c>
      <c r="Q117" s="2">
        <f t="shared" ca="1" si="32"/>
        <v>1.3333333333333335</v>
      </c>
      <c r="R117" s="2">
        <f t="shared" ca="1" si="32"/>
        <v>1.3333333333333335</v>
      </c>
      <c r="S117" s="2">
        <f t="shared" ca="1" si="32"/>
        <v>1.3333333333333335</v>
      </c>
      <c r="T117" s="2">
        <f t="shared" ca="1" si="32"/>
        <v>0.66666666666666674</v>
      </c>
      <c r="U117" s="2">
        <f t="shared" ca="1" si="32"/>
        <v>0</v>
      </c>
      <c r="V117" s="2">
        <f t="shared" ca="1" si="32"/>
        <v>9.3333333333333339</v>
      </c>
      <c r="W117" s="2">
        <f t="shared" ca="1" si="32"/>
        <v>14.666666666666666</v>
      </c>
      <c r="X117" s="3">
        <f t="shared" ca="1" si="32"/>
        <v>50</v>
      </c>
      <c r="Y117" s="2">
        <f t="shared" ca="1" si="32"/>
        <v>11.333333333333332</v>
      </c>
      <c r="Z117" s="2">
        <f t="shared" ca="1" si="32"/>
        <v>0.66666666666666674</v>
      </c>
      <c r="AC117" s="2"/>
      <c r="AD117" s="2"/>
    </row>
    <row r="118" spans="1:30">
      <c r="A118">
        <v>52</v>
      </c>
      <c r="B118">
        <v>25</v>
      </c>
      <c r="C118" t="s">
        <v>21</v>
      </c>
      <c r="D118" s="5">
        <f t="shared" ca="1" si="31"/>
        <v>0</v>
      </c>
      <c r="E118" s="5">
        <f t="shared" ca="1" si="31"/>
        <v>0</v>
      </c>
      <c r="F118" s="5">
        <f t="shared" ca="1" si="31"/>
        <v>0</v>
      </c>
      <c r="G118" s="5">
        <f t="shared" ca="1" si="31"/>
        <v>1.3333333333333335</v>
      </c>
      <c r="H118" s="5">
        <f t="shared" ca="1" si="31"/>
        <v>0.66666666666666674</v>
      </c>
      <c r="I118" s="5">
        <f t="shared" ca="1" si="31"/>
        <v>11.333333333333332</v>
      </c>
      <c r="J118" s="5">
        <f t="shared" ca="1" si="31"/>
        <v>0</v>
      </c>
      <c r="K118" s="5">
        <f t="shared" ca="1" si="31"/>
        <v>0</v>
      </c>
      <c r="L118" s="5">
        <f t="shared" ca="1" si="31"/>
        <v>0.66666666666666674</v>
      </c>
      <c r="M118" s="5">
        <f t="shared" ca="1" si="31"/>
        <v>0</v>
      </c>
      <c r="N118" s="5">
        <f t="shared" ca="1" si="32"/>
        <v>1.3333333333333335</v>
      </c>
      <c r="O118" s="2">
        <f t="shared" ca="1" si="32"/>
        <v>0</v>
      </c>
      <c r="P118" s="2">
        <f t="shared" ca="1" si="32"/>
        <v>0</v>
      </c>
      <c r="Q118" s="2">
        <f t="shared" ca="1" si="32"/>
        <v>2</v>
      </c>
      <c r="R118" s="2">
        <f t="shared" ca="1" si="32"/>
        <v>0</v>
      </c>
      <c r="S118" s="2">
        <f t="shared" ca="1" si="32"/>
        <v>0.66666666666666674</v>
      </c>
      <c r="T118" s="2">
        <f t="shared" ca="1" si="32"/>
        <v>2</v>
      </c>
      <c r="U118" s="2">
        <f t="shared" ca="1" si="32"/>
        <v>0.66666666666666674</v>
      </c>
      <c r="V118" s="2">
        <f t="shared" ca="1" si="32"/>
        <v>2</v>
      </c>
      <c r="W118" s="2">
        <f t="shared" ca="1" si="32"/>
        <v>13.333333333333334</v>
      </c>
      <c r="X118" s="2">
        <f t="shared" ca="1" si="32"/>
        <v>11.333333333333332</v>
      </c>
      <c r="Y118" s="3">
        <f t="shared" ca="1" si="32"/>
        <v>72</v>
      </c>
      <c r="Z118" s="2">
        <f t="shared" ca="1" si="32"/>
        <v>6.666666666666667</v>
      </c>
      <c r="AC118" s="2"/>
      <c r="AD118" s="2"/>
    </row>
    <row r="119" spans="1:30">
      <c r="A119">
        <v>53</v>
      </c>
      <c r="B119">
        <v>26</v>
      </c>
      <c r="C119" t="s">
        <v>22</v>
      </c>
      <c r="D119" s="5">
        <f t="shared" ca="1" si="31"/>
        <v>4</v>
      </c>
      <c r="E119" s="5">
        <f t="shared" ca="1" si="31"/>
        <v>3.3333333333333335</v>
      </c>
      <c r="F119" s="5">
        <f t="shared" ca="1" si="31"/>
        <v>6.666666666666667</v>
      </c>
      <c r="G119" s="5">
        <f t="shared" ca="1" si="31"/>
        <v>2.666666666666667</v>
      </c>
      <c r="H119" s="5">
        <f t="shared" ca="1" si="31"/>
        <v>0.66666666666666674</v>
      </c>
      <c r="I119" s="5">
        <f t="shared" ca="1" si="31"/>
        <v>2.666666666666667</v>
      </c>
      <c r="J119" s="5">
        <f t="shared" ca="1" si="31"/>
        <v>0.66666666666666674</v>
      </c>
      <c r="K119" s="5">
        <f t="shared" ca="1" si="31"/>
        <v>0.66666666666666674</v>
      </c>
      <c r="L119" s="5">
        <f t="shared" ca="1" si="31"/>
        <v>0</v>
      </c>
      <c r="M119" s="5">
        <f t="shared" ca="1" si="31"/>
        <v>0.66666666666666674</v>
      </c>
      <c r="N119" s="5">
        <f t="shared" ca="1" si="32"/>
        <v>0</v>
      </c>
      <c r="O119" s="2">
        <f t="shared" ca="1" si="32"/>
        <v>2.666666666666667</v>
      </c>
      <c r="P119" s="2">
        <f t="shared" ca="1" si="32"/>
        <v>1.3333333333333335</v>
      </c>
      <c r="Q119" s="2">
        <f t="shared" ca="1" si="32"/>
        <v>1.3333333333333335</v>
      </c>
      <c r="R119" s="2">
        <f t="shared" ca="1" si="32"/>
        <v>1.3333333333333335</v>
      </c>
      <c r="S119" s="2">
        <f t="shared" ca="1" si="32"/>
        <v>9.3333333333333339</v>
      </c>
      <c r="T119" s="2">
        <f t="shared" ca="1" si="32"/>
        <v>0.66666666666666674</v>
      </c>
      <c r="U119" s="2">
        <f t="shared" ca="1" si="32"/>
        <v>1.3333333333333335</v>
      </c>
      <c r="V119" s="2">
        <f t="shared" ca="1" si="32"/>
        <v>2</v>
      </c>
      <c r="W119" s="2">
        <f t="shared" ca="1" si="32"/>
        <v>2</v>
      </c>
      <c r="X119" s="2">
        <f t="shared" ca="1" si="32"/>
        <v>0.66666666666666674</v>
      </c>
      <c r="Y119" s="2">
        <f t="shared" ca="1" si="32"/>
        <v>6.666666666666667</v>
      </c>
      <c r="Z119" s="3">
        <f t="shared" ca="1" si="32"/>
        <v>62.666666666666671</v>
      </c>
    </row>
    <row r="128" spans="1:30">
      <c r="G128" s="2"/>
    </row>
  </sheetData>
  <sheetCalcPr fullCalcOnLoad="1"/>
  <phoneticPr fontId="4"/>
  <pageMargins left="0.75" right="0.75" top="1" bottom="1" header="0.5" footer="0.5"/>
  <pageSetup paperSize="0"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I484"/>
  <sheetViews>
    <sheetView topLeftCell="A468" workbookViewId="0">
      <selection activeCell="E484" sqref="A1:E484"/>
    </sheetView>
  </sheetViews>
  <sheetFormatPr baseColWidth="10" defaultColWidth="8.83203125" defaultRowHeight="15"/>
  <sheetData>
    <row r="1" spans="1:35">
      <c r="A1" t="s">
        <v>0</v>
      </c>
      <c r="B1" t="s">
        <v>0</v>
      </c>
      <c r="C1" t="str">
        <f>CONCATENATE(A1, B1)</f>
        <v>pp</v>
      </c>
      <c r="D1" s="19">
        <v>26.666666666666668</v>
      </c>
      <c r="E1">
        <f>D1/100</f>
        <v>0.26666666666666666</v>
      </c>
      <c r="J1" t="s">
        <v>23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I1" t="s">
        <v>24</v>
      </c>
    </row>
    <row r="2" spans="1:35">
      <c r="A2" t="s">
        <v>0</v>
      </c>
      <c r="B2" t="s">
        <v>1</v>
      </c>
      <c r="C2" t="str">
        <f t="shared" ref="C2:C65" si="0">CONCATENATE(A2, B2)</f>
        <v>pt</v>
      </c>
      <c r="D2" s="19">
        <v>36.666666666666664</v>
      </c>
      <c r="E2">
        <f t="shared" ref="E2:E65" si="1">D2/100</f>
        <v>0.36666666666666664</v>
      </c>
      <c r="J2" t="s">
        <v>0</v>
      </c>
      <c r="K2">
        <v>26.666666666666668</v>
      </c>
      <c r="L2">
        <v>36.666666666666664</v>
      </c>
      <c r="M2">
        <v>20</v>
      </c>
      <c r="N2">
        <v>1.3333333333333335</v>
      </c>
      <c r="O2">
        <v>0</v>
      </c>
      <c r="P2">
        <v>0</v>
      </c>
      <c r="Q2">
        <v>0.66666666666666674</v>
      </c>
      <c r="R2">
        <v>0</v>
      </c>
      <c r="S2">
        <v>0.66666666666666674</v>
      </c>
      <c r="T2">
        <v>0</v>
      </c>
      <c r="U2">
        <v>0</v>
      </c>
      <c r="V2">
        <v>3.3333333333333335</v>
      </c>
      <c r="W2">
        <v>0.66666666666666674</v>
      </c>
      <c r="X2">
        <v>2</v>
      </c>
      <c r="Y2">
        <v>0</v>
      </c>
      <c r="Z2">
        <v>3.3333333333333335</v>
      </c>
      <c r="AA2">
        <v>0</v>
      </c>
      <c r="AB2">
        <v>0</v>
      </c>
      <c r="AC2">
        <v>0.66666666666666674</v>
      </c>
      <c r="AD2">
        <v>0</v>
      </c>
      <c r="AE2">
        <v>0</v>
      </c>
      <c r="AF2">
        <v>0</v>
      </c>
      <c r="AG2">
        <v>4</v>
      </c>
      <c r="AI2">
        <v>100</v>
      </c>
    </row>
    <row r="3" spans="1:35">
      <c r="A3" t="s">
        <v>0</v>
      </c>
      <c r="B3" t="s">
        <v>2</v>
      </c>
      <c r="C3" t="str">
        <f t="shared" si="0"/>
        <v>pk</v>
      </c>
      <c r="D3" s="19">
        <v>20</v>
      </c>
      <c r="E3">
        <f t="shared" si="1"/>
        <v>0.2</v>
      </c>
      <c r="J3" t="s">
        <v>1</v>
      </c>
      <c r="K3">
        <v>2.666666666666667</v>
      </c>
      <c r="L3">
        <v>68.666666666666671</v>
      </c>
      <c r="M3">
        <v>16</v>
      </c>
      <c r="N3">
        <v>0</v>
      </c>
      <c r="O3">
        <v>2</v>
      </c>
      <c r="P3">
        <v>0</v>
      </c>
      <c r="Q3">
        <v>2</v>
      </c>
      <c r="R3">
        <v>0</v>
      </c>
      <c r="S3">
        <v>0.66666666666666674</v>
      </c>
      <c r="T3">
        <v>0</v>
      </c>
      <c r="U3">
        <v>0</v>
      </c>
      <c r="V3">
        <v>0</v>
      </c>
      <c r="W3">
        <v>0.66666666666666674</v>
      </c>
      <c r="X3">
        <v>0</v>
      </c>
      <c r="Y3">
        <v>1.3333333333333335</v>
      </c>
      <c r="Z3">
        <v>0.66666666666666674</v>
      </c>
      <c r="AA3">
        <v>0</v>
      </c>
      <c r="AB3">
        <v>0.66666666666666674</v>
      </c>
      <c r="AC3">
        <v>0</v>
      </c>
      <c r="AD3">
        <v>2</v>
      </c>
      <c r="AE3">
        <v>0</v>
      </c>
      <c r="AF3">
        <v>0</v>
      </c>
      <c r="AG3">
        <v>2.666666666666667</v>
      </c>
      <c r="AI3">
        <v>100</v>
      </c>
    </row>
    <row r="4" spans="1:35">
      <c r="A4" t="s">
        <v>0</v>
      </c>
      <c r="B4" t="s">
        <v>3</v>
      </c>
      <c r="C4" t="str">
        <f t="shared" si="0"/>
        <v>pb</v>
      </c>
      <c r="D4" s="19">
        <v>1.3333333333333335</v>
      </c>
      <c r="E4">
        <f t="shared" si="1"/>
        <v>1.3333333333333334E-2</v>
      </c>
      <c r="J4" t="s">
        <v>2</v>
      </c>
      <c r="K4">
        <v>8</v>
      </c>
      <c r="L4">
        <v>13.333333333333334</v>
      </c>
      <c r="M4">
        <v>68</v>
      </c>
      <c r="N4">
        <v>2.666666666666667</v>
      </c>
      <c r="O4">
        <v>0.66666666666666674</v>
      </c>
      <c r="P4">
        <v>0</v>
      </c>
      <c r="Q4">
        <v>2.666666666666667</v>
      </c>
      <c r="R4">
        <v>0.66666666666666674</v>
      </c>
      <c r="S4">
        <v>0</v>
      </c>
      <c r="T4">
        <v>0</v>
      </c>
      <c r="U4">
        <v>0</v>
      </c>
      <c r="V4">
        <v>0</v>
      </c>
      <c r="W4">
        <v>0.66666666666666674</v>
      </c>
      <c r="X4">
        <v>0</v>
      </c>
      <c r="Y4">
        <v>0</v>
      </c>
      <c r="Z4">
        <v>0.66666666666666674</v>
      </c>
      <c r="AA4">
        <v>0</v>
      </c>
      <c r="AB4">
        <v>0</v>
      </c>
      <c r="AC4">
        <v>0</v>
      </c>
      <c r="AD4">
        <v>0.66666666666666674</v>
      </c>
      <c r="AE4">
        <v>0</v>
      </c>
      <c r="AF4">
        <v>0</v>
      </c>
      <c r="AG4">
        <v>2</v>
      </c>
      <c r="AI4">
        <v>100</v>
      </c>
    </row>
    <row r="5" spans="1:35">
      <c r="A5" t="s">
        <v>0</v>
      </c>
      <c r="B5" t="s">
        <v>4</v>
      </c>
      <c r="C5" t="str">
        <f t="shared" si="0"/>
        <v>pd</v>
      </c>
      <c r="D5" s="19">
        <v>0</v>
      </c>
      <c r="E5">
        <f t="shared" si="1"/>
        <v>0</v>
      </c>
      <c r="J5" t="s">
        <v>3</v>
      </c>
      <c r="K5">
        <v>6</v>
      </c>
      <c r="L5">
        <v>4</v>
      </c>
      <c r="M5">
        <v>4.666666666666667</v>
      </c>
      <c r="N5">
        <v>26</v>
      </c>
      <c r="O5">
        <v>20</v>
      </c>
      <c r="P5">
        <v>6.666666666666667</v>
      </c>
      <c r="Q5">
        <v>0.66666666666666674</v>
      </c>
      <c r="R5">
        <v>0.66666666666666674</v>
      </c>
      <c r="S5">
        <v>1.3333333333333335</v>
      </c>
      <c r="T5">
        <v>0</v>
      </c>
      <c r="U5">
        <v>0</v>
      </c>
      <c r="V5">
        <v>7.333333333333333</v>
      </c>
      <c r="W5">
        <v>2</v>
      </c>
      <c r="X5">
        <v>6</v>
      </c>
      <c r="Y5">
        <v>8</v>
      </c>
      <c r="Z5">
        <v>0</v>
      </c>
      <c r="AA5">
        <v>0</v>
      </c>
      <c r="AB5">
        <v>0</v>
      </c>
      <c r="AC5">
        <v>2</v>
      </c>
      <c r="AD5">
        <v>0.66666666666666674</v>
      </c>
      <c r="AE5">
        <v>0.66666666666666674</v>
      </c>
      <c r="AF5">
        <v>0.66666666666666674</v>
      </c>
      <c r="AG5">
        <v>2.666666666666667</v>
      </c>
      <c r="AI5">
        <v>100</v>
      </c>
    </row>
    <row r="6" spans="1:35">
      <c r="A6" t="s">
        <v>0</v>
      </c>
      <c r="B6" t="s">
        <v>5</v>
      </c>
      <c r="C6" t="str">
        <f t="shared" si="0"/>
        <v>pg</v>
      </c>
      <c r="D6" s="19">
        <v>0</v>
      </c>
      <c r="E6">
        <f t="shared" si="1"/>
        <v>0</v>
      </c>
      <c r="J6" t="s">
        <v>4</v>
      </c>
      <c r="K6">
        <v>0.66666666666666674</v>
      </c>
      <c r="L6">
        <v>4</v>
      </c>
      <c r="M6">
        <v>0</v>
      </c>
      <c r="N6">
        <v>2.666666666666667</v>
      </c>
      <c r="O6">
        <v>76</v>
      </c>
      <c r="P6">
        <v>3.3333333333333335</v>
      </c>
      <c r="Q6">
        <v>1.3333333333333335</v>
      </c>
      <c r="R6">
        <v>2</v>
      </c>
      <c r="S6">
        <v>2</v>
      </c>
      <c r="T6">
        <v>0</v>
      </c>
      <c r="U6">
        <v>0.66666666666666674</v>
      </c>
      <c r="V6">
        <v>0.66666666666666674</v>
      </c>
      <c r="W6">
        <v>3.3333333333333335</v>
      </c>
      <c r="X6">
        <v>0</v>
      </c>
      <c r="Y6">
        <v>2.666666666666667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0.66666666666666674</v>
      </c>
      <c r="AI6">
        <v>100</v>
      </c>
    </row>
    <row r="7" spans="1:35">
      <c r="A7" t="s">
        <v>0</v>
      </c>
      <c r="B7" t="s">
        <v>6</v>
      </c>
      <c r="C7" t="str">
        <f t="shared" si="0"/>
        <v>pC</v>
      </c>
      <c r="D7" s="19">
        <v>0.66666666666666674</v>
      </c>
      <c r="E7">
        <f t="shared" si="1"/>
        <v>6.6666666666666671E-3</v>
      </c>
      <c r="J7" t="s">
        <v>5</v>
      </c>
      <c r="K7">
        <v>0.66666666666666674</v>
      </c>
      <c r="L7">
        <v>0</v>
      </c>
      <c r="M7">
        <v>0.66666666666666674</v>
      </c>
      <c r="N7">
        <v>4.666666666666667</v>
      </c>
      <c r="O7">
        <v>14</v>
      </c>
      <c r="P7">
        <v>49.333333333333336</v>
      </c>
      <c r="Q7">
        <v>0</v>
      </c>
      <c r="R7">
        <v>2</v>
      </c>
      <c r="S7">
        <v>2</v>
      </c>
      <c r="T7">
        <v>0</v>
      </c>
      <c r="U7">
        <v>0</v>
      </c>
      <c r="V7">
        <v>0.66666666666666674</v>
      </c>
      <c r="W7">
        <v>0</v>
      </c>
      <c r="X7">
        <v>5.3333333333333339</v>
      </c>
      <c r="Y7">
        <v>0.66666666666666674</v>
      </c>
      <c r="Z7">
        <v>1.3333333333333335</v>
      </c>
      <c r="AA7">
        <v>0</v>
      </c>
      <c r="AB7">
        <v>0</v>
      </c>
      <c r="AC7">
        <v>0</v>
      </c>
      <c r="AD7">
        <v>1.3333333333333335</v>
      </c>
      <c r="AE7">
        <v>3.3333333333333335</v>
      </c>
      <c r="AF7">
        <v>11.333333333333332</v>
      </c>
      <c r="AG7">
        <v>2.666666666666667</v>
      </c>
      <c r="AI7">
        <v>100</v>
      </c>
    </row>
    <row r="8" spans="1:35">
      <c r="A8" t="s">
        <v>0</v>
      </c>
      <c r="B8" t="s">
        <v>7</v>
      </c>
      <c r="C8" t="str">
        <f t="shared" si="0"/>
        <v>pJ</v>
      </c>
      <c r="D8" s="19">
        <v>0</v>
      </c>
      <c r="E8">
        <f t="shared" si="1"/>
        <v>0</v>
      </c>
      <c r="J8" t="s">
        <v>6</v>
      </c>
      <c r="K8">
        <v>0</v>
      </c>
      <c r="L8">
        <v>4.666666666666667</v>
      </c>
      <c r="M8">
        <v>0.66666666666666674</v>
      </c>
      <c r="N8">
        <v>0</v>
      </c>
      <c r="O8">
        <v>0</v>
      </c>
      <c r="P8">
        <v>0</v>
      </c>
      <c r="Q8">
        <v>92</v>
      </c>
      <c r="R8">
        <v>0</v>
      </c>
      <c r="S8">
        <v>0</v>
      </c>
      <c r="T8">
        <v>1.3333333333333335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0.66666666666666674</v>
      </c>
      <c r="AB8">
        <v>0</v>
      </c>
      <c r="AC8">
        <v>0</v>
      </c>
      <c r="AD8">
        <v>0</v>
      </c>
      <c r="AE8">
        <v>0</v>
      </c>
      <c r="AF8">
        <v>0</v>
      </c>
      <c r="AG8">
        <v>0.66666666666666674</v>
      </c>
      <c r="AI8">
        <v>100</v>
      </c>
    </row>
    <row r="9" spans="1:35">
      <c r="A9" t="s">
        <v>0</v>
      </c>
      <c r="B9" t="s">
        <v>8</v>
      </c>
      <c r="C9" t="str">
        <f t="shared" si="0"/>
        <v>ps</v>
      </c>
      <c r="D9" s="19">
        <v>0.66666666666666674</v>
      </c>
      <c r="E9">
        <f t="shared" si="1"/>
        <v>6.6666666666666671E-3</v>
      </c>
      <c r="J9" t="s">
        <v>7</v>
      </c>
      <c r="K9">
        <v>0</v>
      </c>
      <c r="L9">
        <v>0.66666666666666674</v>
      </c>
      <c r="M9">
        <v>0</v>
      </c>
      <c r="N9">
        <v>0</v>
      </c>
      <c r="O9">
        <v>2</v>
      </c>
      <c r="P9">
        <v>6.666666666666667</v>
      </c>
      <c r="Q9">
        <v>2.666666666666667</v>
      </c>
      <c r="R9">
        <v>86.666666666666671</v>
      </c>
      <c r="S9">
        <v>0</v>
      </c>
      <c r="T9">
        <v>0</v>
      </c>
      <c r="U9">
        <v>0</v>
      </c>
      <c r="V9">
        <v>0.66666666666666674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0.66666666666666674</v>
      </c>
      <c r="AI9">
        <v>100</v>
      </c>
    </row>
    <row r="10" spans="1:35">
      <c r="A10" t="s">
        <v>0</v>
      </c>
      <c r="B10" t="s">
        <v>9</v>
      </c>
      <c r="C10" t="str">
        <f t="shared" si="0"/>
        <v>pS</v>
      </c>
      <c r="D10" s="19">
        <v>0</v>
      </c>
      <c r="E10">
        <f t="shared" si="1"/>
        <v>0</v>
      </c>
      <c r="J10" t="s">
        <v>8</v>
      </c>
      <c r="K10">
        <v>2</v>
      </c>
      <c r="L10">
        <v>12</v>
      </c>
      <c r="M10">
        <v>0.66666666666666674</v>
      </c>
      <c r="N10">
        <v>2</v>
      </c>
      <c r="O10">
        <v>4.666666666666667</v>
      </c>
      <c r="P10">
        <v>0</v>
      </c>
      <c r="Q10">
        <v>6</v>
      </c>
      <c r="R10">
        <v>2</v>
      </c>
      <c r="S10">
        <v>36.666666666666664</v>
      </c>
      <c r="T10">
        <v>0.66666666666666674</v>
      </c>
      <c r="U10">
        <v>10.666666666666668</v>
      </c>
      <c r="V10">
        <v>7.333333333333333</v>
      </c>
      <c r="W10">
        <v>8.6666666666666679</v>
      </c>
      <c r="X10">
        <v>0</v>
      </c>
      <c r="Y10">
        <v>4.666666666666667</v>
      </c>
      <c r="Z10">
        <v>0</v>
      </c>
      <c r="AA10">
        <v>0.66666666666666674</v>
      </c>
      <c r="AB10">
        <v>0.66666666666666674</v>
      </c>
      <c r="AC10">
        <v>0</v>
      </c>
      <c r="AD10">
        <v>0</v>
      </c>
      <c r="AE10">
        <v>0</v>
      </c>
      <c r="AF10">
        <v>0.66666666666666674</v>
      </c>
      <c r="AG10">
        <v>0</v>
      </c>
      <c r="AI10">
        <v>100</v>
      </c>
    </row>
    <row r="11" spans="1:35">
      <c r="A11" t="s">
        <v>0</v>
      </c>
      <c r="B11" t="s">
        <v>10</v>
      </c>
      <c r="C11" t="str">
        <f t="shared" si="0"/>
        <v>pz</v>
      </c>
      <c r="D11" s="19">
        <v>0</v>
      </c>
      <c r="E11">
        <f t="shared" si="1"/>
        <v>0</v>
      </c>
      <c r="J11" t="s">
        <v>9</v>
      </c>
      <c r="K11">
        <v>0.66666666666666674</v>
      </c>
      <c r="L11">
        <v>0</v>
      </c>
      <c r="M11">
        <v>0</v>
      </c>
      <c r="N11">
        <v>0</v>
      </c>
      <c r="O11">
        <v>0</v>
      </c>
      <c r="P11">
        <v>0</v>
      </c>
      <c r="Q11">
        <v>53.333333333333336</v>
      </c>
      <c r="R11">
        <v>2</v>
      </c>
      <c r="S11">
        <v>1.3333333333333335</v>
      </c>
      <c r="T11">
        <v>41.333333333333336</v>
      </c>
      <c r="U11">
        <v>0</v>
      </c>
      <c r="V11">
        <v>0.66666666666666674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0.66666666666666674</v>
      </c>
      <c r="AI11">
        <v>100</v>
      </c>
    </row>
    <row r="12" spans="1:35">
      <c r="A12" t="s">
        <v>0</v>
      </c>
      <c r="B12" t="s">
        <v>11</v>
      </c>
      <c r="C12" t="str">
        <f t="shared" si="0"/>
        <v>pf</v>
      </c>
      <c r="D12" s="19">
        <v>3.3333333333333335</v>
      </c>
      <c r="E12">
        <f t="shared" si="1"/>
        <v>3.3333333333333333E-2</v>
      </c>
      <c r="J12" t="s">
        <v>10</v>
      </c>
      <c r="K12">
        <v>0</v>
      </c>
      <c r="L12">
        <v>0.66666666666666674</v>
      </c>
      <c r="M12">
        <v>0.66666666666666674</v>
      </c>
      <c r="N12">
        <v>1.3333333333333335</v>
      </c>
      <c r="O12">
        <v>16</v>
      </c>
      <c r="P12">
        <v>10</v>
      </c>
      <c r="Q12">
        <v>0</v>
      </c>
      <c r="R12">
        <v>2.666666666666667</v>
      </c>
      <c r="S12">
        <v>6</v>
      </c>
      <c r="T12">
        <v>0</v>
      </c>
      <c r="U12">
        <v>30</v>
      </c>
      <c r="V12">
        <v>0</v>
      </c>
      <c r="W12">
        <v>8</v>
      </c>
      <c r="X12">
        <v>6</v>
      </c>
      <c r="Y12">
        <v>14</v>
      </c>
      <c r="Z12">
        <v>0</v>
      </c>
      <c r="AA12">
        <v>0</v>
      </c>
      <c r="AB12">
        <v>0</v>
      </c>
      <c r="AC12">
        <v>0.66666666666666674</v>
      </c>
      <c r="AD12">
        <v>2</v>
      </c>
      <c r="AE12">
        <v>0.66666666666666674</v>
      </c>
      <c r="AF12">
        <v>1.3333333333333335</v>
      </c>
      <c r="AG12">
        <v>0</v>
      </c>
      <c r="AI12">
        <v>100</v>
      </c>
    </row>
    <row r="13" spans="1:35">
      <c r="A13" t="s">
        <v>0</v>
      </c>
      <c r="B13" t="s">
        <v>12</v>
      </c>
      <c r="C13" t="str">
        <f t="shared" si="0"/>
        <v>pT</v>
      </c>
      <c r="D13" s="19">
        <v>0.66666666666666674</v>
      </c>
      <c r="E13">
        <f t="shared" si="1"/>
        <v>6.6666666666666671E-3</v>
      </c>
      <c r="J13" t="s">
        <v>11</v>
      </c>
      <c r="K13">
        <v>9.3333333333333339</v>
      </c>
      <c r="L13">
        <v>10.666666666666668</v>
      </c>
      <c r="M13">
        <v>6</v>
      </c>
      <c r="N13">
        <v>8</v>
      </c>
      <c r="O13">
        <v>1.3333333333333335</v>
      </c>
      <c r="P13">
        <v>0.66666666666666674</v>
      </c>
      <c r="Q13">
        <v>3.3333333333333335</v>
      </c>
      <c r="R13">
        <v>0</v>
      </c>
      <c r="S13">
        <v>7.333333333333333</v>
      </c>
      <c r="T13">
        <v>0</v>
      </c>
      <c r="U13">
        <v>2.666666666666667</v>
      </c>
      <c r="V13">
        <v>36</v>
      </c>
      <c r="W13">
        <v>6</v>
      </c>
      <c r="X13">
        <v>2</v>
      </c>
      <c r="Y13">
        <v>4</v>
      </c>
      <c r="Z13">
        <v>0.66666666666666674</v>
      </c>
      <c r="AA13">
        <v>0</v>
      </c>
      <c r="AB13">
        <v>0.66666666666666674</v>
      </c>
      <c r="AC13">
        <v>0.66666666666666674</v>
      </c>
      <c r="AD13">
        <v>0</v>
      </c>
      <c r="AE13">
        <v>0</v>
      </c>
      <c r="AF13">
        <v>0</v>
      </c>
      <c r="AG13">
        <v>0.66666666666666674</v>
      </c>
      <c r="AI13">
        <v>100</v>
      </c>
    </row>
    <row r="14" spans="1:35">
      <c r="A14" t="s">
        <v>0</v>
      </c>
      <c r="B14" t="s">
        <v>13</v>
      </c>
      <c r="C14" t="str">
        <f t="shared" si="0"/>
        <v>pv</v>
      </c>
      <c r="D14" s="19">
        <v>2</v>
      </c>
      <c r="E14">
        <f t="shared" si="1"/>
        <v>0.02</v>
      </c>
      <c r="J14" t="s">
        <v>12</v>
      </c>
      <c r="K14">
        <v>7.333333333333333</v>
      </c>
      <c r="L14">
        <v>12</v>
      </c>
      <c r="M14">
        <v>4.666666666666667</v>
      </c>
      <c r="N14">
        <v>7.333333333333333</v>
      </c>
      <c r="O14">
        <v>4</v>
      </c>
      <c r="P14">
        <v>3.3333333333333335</v>
      </c>
      <c r="Q14">
        <v>1.3333333333333335</v>
      </c>
      <c r="R14">
        <v>0</v>
      </c>
      <c r="S14">
        <v>8</v>
      </c>
      <c r="T14">
        <v>0</v>
      </c>
      <c r="U14">
        <v>1.3333333333333335</v>
      </c>
      <c r="V14">
        <v>24</v>
      </c>
      <c r="W14">
        <v>13.333333333333334</v>
      </c>
      <c r="X14">
        <v>2.666666666666667</v>
      </c>
      <c r="Y14">
        <v>6.666666666666667</v>
      </c>
      <c r="Z14">
        <v>2</v>
      </c>
      <c r="AA14">
        <v>0</v>
      </c>
      <c r="AB14">
        <v>0.66666666666666674</v>
      </c>
      <c r="AC14">
        <v>0</v>
      </c>
      <c r="AD14">
        <v>0</v>
      </c>
      <c r="AE14">
        <v>0</v>
      </c>
      <c r="AF14">
        <v>0</v>
      </c>
      <c r="AG14">
        <v>1.3333333333333335</v>
      </c>
      <c r="AI14">
        <v>100</v>
      </c>
    </row>
    <row r="15" spans="1:35">
      <c r="A15" t="s">
        <v>0</v>
      </c>
      <c r="B15" t="s">
        <v>14</v>
      </c>
      <c r="C15" t="str">
        <f t="shared" si="0"/>
        <v>pD</v>
      </c>
      <c r="D15" s="19">
        <v>0</v>
      </c>
      <c r="E15">
        <f t="shared" si="1"/>
        <v>0</v>
      </c>
      <c r="J15" t="s">
        <v>13</v>
      </c>
      <c r="K15">
        <v>0.66666666666666674</v>
      </c>
      <c r="L15">
        <v>1.3333333333333335</v>
      </c>
      <c r="M15">
        <v>0.66666666666666674</v>
      </c>
      <c r="N15">
        <v>11.333333333333332</v>
      </c>
      <c r="O15">
        <v>10</v>
      </c>
      <c r="P15">
        <v>4.666666666666667</v>
      </c>
      <c r="Q15">
        <v>0</v>
      </c>
      <c r="R15">
        <v>0</v>
      </c>
      <c r="S15">
        <v>0</v>
      </c>
      <c r="T15">
        <v>0.66666666666666674</v>
      </c>
      <c r="U15">
        <v>2</v>
      </c>
      <c r="V15">
        <v>2.666666666666667</v>
      </c>
      <c r="W15">
        <v>11.333333333333332</v>
      </c>
      <c r="X15">
        <v>22.666666666666664</v>
      </c>
      <c r="Y15">
        <v>20.666666666666668</v>
      </c>
      <c r="Z15">
        <v>0</v>
      </c>
      <c r="AA15">
        <v>0.66666666666666674</v>
      </c>
      <c r="AB15">
        <v>0.66666666666666674</v>
      </c>
      <c r="AC15">
        <v>6</v>
      </c>
      <c r="AD15">
        <v>1.3333333333333335</v>
      </c>
      <c r="AE15">
        <v>1.3333333333333335</v>
      </c>
      <c r="AF15">
        <v>0</v>
      </c>
      <c r="AG15">
        <v>1.3333333333333335</v>
      </c>
      <c r="AI15">
        <v>100</v>
      </c>
    </row>
    <row r="16" spans="1:35">
      <c r="A16" t="s">
        <v>0</v>
      </c>
      <c r="B16" t="s">
        <v>15</v>
      </c>
      <c r="C16" t="str">
        <f t="shared" si="0"/>
        <v>ph</v>
      </c>
      <c r="D16" s="19">
        <v>3.3333333333333335</v>
      </c>
      <c r="E16">
        <f t="shared" si="1"/>
        <v>3.3333333333333333E-2</v>
      </c>
      <c r="J16" t="s">
        <v>14</v>
      </c>
      <c r="K16">
        <v>2.666666666666667</v>
      </c>
      <c r="L16">
        <v>1.3333333333333335</v>
      </c>
      <c r="M16">
        <v>1.3333333333333335</v>
      </c>
      <c r="N16">
        <v>4</v>
      </c>
      <c r="O16">
        <v>8</v>
      </c>
      <c r="P16">
        <v>4.666666666666667</v>
      </c>
      <c r="Q16">
        <v>2</v>
      </c>
      <c r="R16">
        <v>0</v>
      </c>
      <c r="S16">
        <v>2.666666666666667</v>
      </c>
      <c r="T16">
        <v>0.66666666666666674</v>
      </c>
      <c r="U16">
        <v>9.3333333333333339</v>
      </c>
      <c r="V16">
        <v>1.3333333333333335</v>
      </c>
      <c r="W16">
        <v>10.666666666666668</v>
      </c>
      <c r="X16">
        <v>10.666666666666668</v>
      </c>
      <c r="Y16">
        <v>30</v>
      </c>
      <c r="Z16">
        <v>0.66666666666666674</v>
      </c>
      <c r="AA16">
        <v>1.3333333333333335</v>
      </c>
      <c r="AB16">
        <v>1.3333333333333335</v>
      </c>
      <c r="AC16">
        <v>3.3333333333333335</v>
      </c>
      <c r="AD16">
        <v>2.666666666666667</v>
      </c>
      <c r="AE16">
        <v>0.66666666666666674</v>
      </c>
      <c r="AF16">
        <v>0</v>
      </c>
      <c r="AG16">
        <v>0.66666666666666674</v>
      </c>
      <c r="AI16">
        <v>100</v>
      </c>
    </row>
    <row r="17" spans="1:35">
      <c r="A17" t="s">
        <v>0</v>
      </c>
      <c r="B17" t="s">
        <v>16</v>
      </c>
      <c r="C17" t="str">
        <f t="shared" si="0"/>
        <v>pn</v>
      </c>
      <c r="D17" s="19">
        <v>0</v>
      </c>
      <c r="E17">
        <f t="shared" si="1"/>
        <v>0</v>
      </c>
      <c r="J17" t="s">
        <v>15</v>
      </c>
      <c r="K17">
        <v>19.333333333333332</v>
      </c>
      <c r="L17">
        <v>28</v>
      </c>
      <c r="M17">
        <v>22</v>
      </c>
      <c r="N17">
        <v>0.66666666666666674</v>
      </c>
      <c r="O17">
        <v>0</v>
      </c>
      <c r="P17">
        <v>0</v>
      </c>
      <c r="Q17">
        <v>1.3333333333333335</v>
      </c>
      <c r="R17">
        <v>0</v>
      </c>
      <c r="S17">
        <v>0</v>
      </c>
      <c r="T17">
        <v>0</v>
      </c>
      <c r="U17">
        <v>0</v>
      </c>
      <c r="V17">
        <v>3.3333333333333335</v>
      </c>
      <c r="W17">
        <v>1.3333333333333335</v>
      </c>
      <c r="X17">
        <v>0.66666666666666674</v>
      </c>
      <c r="Y17">
        <v>0</v>
      </c>
      <c r="Z17">
        <v>12.666666666666668</v>
      </c>
      <c r="AA17">
        <v>1.3333333333333335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9.3333333333333339</v>
      </c>
      <c r="AI17">
        <v>100</v>
      </c>
    </row>
    <row r="18" spans="1:35">
      <c r="A18" t="s">
        <v>0</v>
      </c>
      <c r="B18" t="s">
        <v>17</v>
      </c>
      <c r="C18" t="str">
        <f t="shared" si="0"/>
        <v>pm</v>
      </c>
      <c r="D18" s="19">
        <v>0</v>
      </c>
      <c r="E18">
        <f t="shared" si="1"/>
        <v>0</v>
      </c>
      <c r="J18" t="s">
        <v>16</v>
      </c>
      <c r="K18">
        <v>0</v>
      </c>
      <c r="L18">
        <v>0.66666666666666674</v>
      </c>
      <c r="M18">
        <v>0.66666666666666674</v>
      </c>
      <c r="N18">
        <v>0</v>
      </c>
      <c r="O18">
        <v>0</v>
      </c>
      <c r="P18">
        <v>0</v>
      </c>
      <c r="Q18">
        <v>0.66666666666666674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0.66666666666666674</v>
      </c>
      <c r="Y18">
        <v>0</v>
      </c>
      <c r="Z18">
        <v>1.3333333333333335</v>
      </c>
      <c r="AA18">
        <v>78.666666666666657</v>
      </c>
      <c r="AB18">
        <v>17.333333333333336</v>
      </c>
      <c r="AC18">
        <v>0</v>
      </c>
      <c r="AD18">
        <v>0</v>
      </c>
      <c r="AE18">
        <v>0</v>
      </c>
      <c r="AF18">
        <v>0</v>
      </c>
      <c r="AG18">
        <v>0</v>
      </c>
      <c r="AI18">
        <v>100</v>
      </c>
    </row>
    <row r="19" spans="1:35">
      <c r="A19" t="s">
        <v>0</v>
      </c>
      <c r="B19" t="s">
        <v>18</v>
      </c>
      <c r="C19" t="str">
        <f t="shared" si="0"/>
        <v>pl</v>
      </c>
      <c r="D19" s="19">
        <v>0.66666666666666674</v>
      </c>
      <c r="E19">
        <f t="shared" si="1"/>
        <v>6.6666666666666671E-3</v>
      </c>
      <c r="J19" t="s">
        <v>17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1.3333333333333335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13.333333333333334</v>
      </c>
      <c r="AB19">
        <v>84</v>
      </c>
      <c r="AC19">
        <v>0</v>
      </c>
      <c r="AD19">
        <v>0</v>
      </c>
      <c r="AE19">
        <v>0</v>
      </c>
      <c r="AF19">
        <v>0.66666666666666674</v>
      </c>
      <c r="AG19">
        <v>0.66666666666666674</v>
      </c>
      <c r="AI19">
        <v>100</v>
      </c>
    </row>
    <row r="20" spans="1:35">
      <c r="A20" t="s">
        <v>0</v>
      </c>
      <c r="B20" t="s">
        <v>19</v>
      </c>
      <c r="C20" t="str">
        <f t="shared" si="0"/>
        <v>pr</v>
      </c>
      <c r="D20" s="19">
        <v>0</v>
      </c>
      <c r="E20">
        <f t="shared" si="1"/>
        <v>0</v>
      </c>
      <c r="J20" t="s">
        <v>18</v>
      </c>
      <c r="K20">
        <v>2</v>
      </c>
      <c r="L20">
        <v>0</v>
      </c>
      <c r="M20">
        <v>0.66666666666666674</v>
      </c>
      <c r="N20">
        <v>7.333333333333333</v>
      </c>
      <c r="O20">
        <v>0.66666666666666674</v>
      </c>
      <c r="P20">
        <v>2.666666666666667</v>
      </c>
      <c r="Q20">
        <v>0.66666666666666674</v>
      </c>
      <c r="R20">
        <v>0.66666666666666674</v>
      </c>
      <c r="S20">
        <v>0</v>
      </c>
      <c r="T20">
        <v>0</v>
      </c>
      <c r="U20">
        <v>0</v>
      </c>
      <c r="V20">
        <v>3.3333333333333335</v>
      </c>
      <c r="W20">
        <v>0</v>
      </c>
      <c r="X20">
        <v>0</v>
      </c>
      <c r="Y20">
        <v>0</v>
      </c>
      <c r="Z20">
        <v>1.3333333333333335</v>
      </c>
      <c r="AA20">
        <v>1.3333333333333335</v>
      </c>
      <c r="AB20">
        <v>2</v>
      </c>
      <c r="AC20">
        <v>71.333333333333343</v>
      </c>
      <c r="AD20">
        <v>2</v>
      </c>
      <c r="AE20">
        <v>0.66666666666666674</v>
      </c>
      <c r="AF20">
        <v>1.3333333333333335</v>
      </c>
      <c r="AG20">
        <v>2</v>
      </c>
      <c r="AI20">
        <v>100</v>
      </c>
    </row>
    <row r="21" spans="1:35">
      <c r="A21" t="s">
        <v>0</v>
      </c>
      <c r="B21" t="s">
        <v>20</v>
      </c>
      <c r="C21" t="str">
        <f t="shared" si="0"/>
        <v>pw</v>
      </c>
      <c r="D21" s="19">
        <v>0</v>
      </c>
      <c r="E21">
        <f t="shared" si="1"/>
        <v>0</v>
      </c>
      <c r="J21" t="s">
        <v>19</v>
      </c>
      <c r="K21">
        <v>0</v>
      </c>
      <c r="L21">
        <v>0.66666666666666674</v>
      </c>
      <c r="M21">
        <v>0.66666666666666674</v>
      </c>
      <c r="N21">
        <v>1.3333333333333335</v>
      </c>
      <c r="O21">
        <v>0.66666666666666674</v>
      </c>
      <c r="P21">
        <v>4.666666666666667</v>
      </c>
      <c r="Q21">
        <v>0</v>
      </c>
      <c r="R21">
        <v>0.66666666666666674</v>
      </c>
      <c r="S21">
        <v>0</v>
      </c>
      <c r="T21">
        <v>0</v>
      </c>
      <c r="U21">
        <v>0.66666666666666674</v>
      </c>
      <c r="V21">
        <v>0.66666666666666674</v>
      </c>
      <c r="W21">
        <v>0</v>
      </c>
      <c r="X21">
        <v>0</v>
      </c>
      <c r="Y21">
        <v>0</v>
      </c>
      <c r="Z21">
        <v>0</v>
      </c>
      <c r="AA21">
        <v>0</v>
      </c>
      <c r="AB21">
        <v>0.66666666666666674</v>
      </c>
      <c r="AC21">
        <v>20</v>
      </c>
      <c r="AD21">
        <v>45.333333333333329</v>
      </c>
      <c r="AE21">
        <v>9.3333333333333339</v>
      </c>
      <c r="AF21">
        <v>13.333333333333334</v>
      </c>
      <c r="AG21">
        <v>1.3333333333333335</v>
      </c>
      <c r="AI21">
        <v>100</v>
      </c>
    </row>
    <row r="22" spans="1:35">
      <c r="A22" t="s">
        <v>0</v>
      </c>
      <c r="B22" t="s">
        <v>21</v>
      </c>
      <c r="C22" t="str">
        <f t="shared" si="0"/>
        <v>py</v>
      </c>
      <c r="D22" s="19">
        <v>0</v>
      </c>
      <c r="E22">
        <f t="shared" si="1"/>
        <v>0</v>
      </c>
      <c r="J22" t="s">
        <v>20</v>
      </c>
      <c r="K22">
        <v>0</v>
      </c>
      <c r="L22">
        <v>2.666666666666667</v>
      </c>
      <c r="M22">
        <v>0.66666666666666674</v>
      </c>
      <c r="N22">
        <v>1.3333333333333335</v>
      </c>
      <c r="O22">
        <v>0.66666666666666674</v>
      </c>
      <c r="P22">
        <v>1.3333333333333335</v>
      </c>
      <c r="Q22">
        <v>0.66666666666666674</v>
      </c>
      <c r="R22">
        <v>0.66666666666666674</v>
      </c>
      <c r="S22">
        <v>0.66666666666666674</v>
      </c>
      <c r="T22">
        <v>0</v>
      </c>
      <c r="U22">
        <v>0.66666666666666674</v>
      </c>
      <c r="V22">
        <v>0.66666666666666674</v>
      </c>
      <c r="W22">
        <v>0</v>
      </c>
      <c r="X22">
        <v>0.66666666666666674</v>
      </c>
      <c r="Y22">
        <v>1.3333333333333335</v>
      </c>
      <c r="Z22">
        <v>1.3333333333333335</v>
      </c>
      <c r="AA22">
        <v>0.66666666666666674</v>
      </c>
      <c r="AB22">
        <v>0</v>
      </c>
      <c r="AC22">
        <v>9.3333333333333339</v>
      </c>
      <c r="AD22">
        <v>14.666666666666666</v>
      </c>
      <c r="AE22">
        <v>50</v>
      </c>
      <c r="AF22">
        <v>11.333333333333332</v>
      </c>
      <c r="AG22">
        <v>0.66666666666666674</v>
      </c>
      <c r="AI22">
        <v>100</v>
      </c>
    </row>
    <row r="23" spans="1:35">
      <c r="A23" t="s">
        <v>1</v>
      </c>
      <c r="B23" t="s">
        <v>0</v>
      </c>
      <c r="C23" t="str">
        <f t="shared" si="0"/>
        <v>tp</v>
      </c>
      <c r="D23" s="19">
        <v>2.666666666666667</v>
      </c>
      <c r="E23">
        <f t="shared" si="1"/>
        <v>2.6666666666666668E-2</v>
      </c>
      <c r="J23" t="s">
        <v>21</v>
      </c>
      <c r="K23">
        <v>0</v>
      </c>
      <c r="L23">
        <v>0</v>
      </c>
      <c r="M23">
        <v>0</v>
      </c>
      <c r="N23">
        <v>1.3333333333333335</v>
      </c>
      <c r="O23">
        <v>0.66666666666666674</v>
      </c>
      <c r="P23">
        <v>3.3333333333333335</v>
      </c>
      <c r="Q23">
        <v>0</v>
      </c>
      <c r="R23">
        <v>0</v>
      </c>
      <c r="S23">
        <v>0.66666666666666674</v>
      </c>
      <c r="T23">
        <v>0</v>
      </c>
      <c r="U23">
        <v>0.66666666666666674</v>
      </c>
      <c r="V23">
        <v>0</v>
      </c>
      <c r="W23">
        <v>0</v>
      </c>
      <c r="X23">
        <v>2</v>
      </c>
      <c r="Y23">
        <v>0</v>
      </c>
      <c r="Z23">
        <v>0.66666666666666674</v>
      </c>
      <c r="AA23">
        <v>2</v>
      </c>
      <c r="AB23">
        <v>0.66666666666666674</v>
      </c>
      <c r="AC23">
        <v>2</v>
      </c>
      <c r="AD23">
        <v>4</v>
      </c>
      <c r="AE23">
        <v>3.3333333333333335</v>
      </c>
      <c r="AF23">
        <v>72</v>
      </c>
      <c r="AG23">
        <v>6.666666666666667</v>
      </c>
      <c r="AI23">
        <v>100</v>
      </c>
    </row>
    <row r="24" spans="1:35">
      <c r="A24" t="s">
        <v>1</v>
      </c>
      <c r="B24" t="s">
        <v>1</v>
      </c>
      <c r="C24" t="str">
        <f t="shared" si="0"/>
        <v>tt</v>
      </c>
      <c r="D24" s="19">
        <v>68.666666666666671</v>
      </c>
      <c r="E24">
        <f t="shared" si="1"/>
        <v>0.68666666666666676</v>
      </c>
      <c r="J24" t="s">
        <v>22</v>
      </c>
      <c r="K24">
        <v>2</v>
      </c>
      <c r="L24">
        <v>3.3333333333333335</v>
      </c>
      <c r="M24">
        <v>6.666666666666667</v>
      </c>
      <c r="N24">
        <v>2</v>
      </c>
      <c r="O24">
        <v>0.66666666666666674</v>
      </c>
      <c r="P24">
        <v>0.66666666666666674</v>
      </c>
      <c r="Q24">
        <v>0</v>
      </c>
      <c r="R24">
        <v>0.66666666666666674</v>
      </c>
      <c r="S24">
        <v>0</v>
      </c>
      <c r="T24">
        <v>0</v>
      </c>
      <c r="U24">
        <v>0</v>
      </c>
      <c r="V24">
        <v>2.666666666666667</v>
      </c>
      <c r="W24">
        <v>1.3333333333333335</v>
      </c>
      <c r="X24">
        <v>0.66666666666666674</v>
      </c>
      <c r="Y24">
        <v>1.3333333333333335</v>
      </c>
      <c r="Z24">
        <v>7.333333333333333</v>
      </c>
      <c r="AA24">
        <v>0.66666666666666674</v>
      </c>
      <c r="AB24">
        <v>1.3333333333333335</v>
      </c>
      <c r="AC24">
        <v>2</v>
      </c>
      <c r="AD24">
        <v>2</v>
      </c>
      <c r="AE24">
        <v>0.66666666666666674</v>
      </c>
      <c r="AF24">
        <v>1.3333333333333335</v>
      </c>
      <c r="AG24">
        <v>62.666666666666671</v>
      </c>
      <c r="AI24">
        <v>100</v>
      </c>
    </row>
    <row r="25" spans="1:35">
      <c r="A25" t="s">
        <v>1</v>
      </c>
      <c r="B25" t="s">
        <v>2</v>
      </c>
      <c r="C25" t="str">
        <f t="shared" si="0"/>
        <v>tk</v>
      </c>
      <c r="D25" s="19">
        <v>16</v>
      </c>
      <c r="E25">
        <f t="shared" si="1"/>
        <v>0.16</v>
      </c>
    </row>
    <row r="26" spans="1:35">
      <c r="A26" t="s">
        <v>1</v>
      </c>
      <c r="B26" t="s">
        <v>3</v>
      </c>
      <c r="C26" t="str">
        <f t="shared" si="0"/>
        <v>tb</v>
      </c>
      <c r="D26" s="19">
        <v>0</v>
      </c>
      <c r="E26">
        <f t="shared" si="1"/>
        <v>0</v>
      </c>
    </row>
    <row r="27" spans="1:35">
      <c r="A27" t="s">
        <v>1</v>
      </c>
      <c r="B27" t="s">
        <v>4</v>
      </c>
      <c r="C27" t="str">
        <f t="shared" si="0"/>
        <v>td</v>
      </c>
      <c r="D27" s="19">
        <v>2</v>
      </c>
      <c r="E27">
        <f t="shared" si="1"/>
        <v>0.02</v>
      </c>
    </row>
    <row r="28" spans="1:35">
      <c r="A28" t="s">
        <v>1</v>
      </c>
      <c r="B28" t="s">
        <v>5</v>
      </c>
      <c r="C28" t="str">
        <f t="shared" si="0"/>
        <v>tg</v>
      </c>
      <c r="D28" s="19">
        <v>0</v>
      </c>
      <c r="E28">
        <f t="shared" si="1"/>
        <v>0</v>
      </c>
    </row>
    <row r="29" spans="1:35">
      <c r="A29" t="s">
        <v>1</v>
      </c>
      <c r="B29" t="s">
        <v>6</v>
      </c>
      <c r="C29" t="str">
        <f t="shared" si="0"/>
        <v>tC</v>
      </c>
      <c r="D29" s="19">
        <v>2</v>
      </c>
      <c r="E29">
        <f t="shared" si="1"/>
        <v>0.02</v>
      </c>
    </row>
    <row r="30" spans="1:35">
      <c r="A30" t="s">
        <v>1</v>
      </c>
      <c r="B30" t="s">
        <v>7</v>
      </c>
      <c r="C30" t="str">
        <f t="shared" si="0"/>
        <v>tJ</v>
      </c>
      <c r="D30" s="19">
        <v>0</v>
      </c>
      <c r="E30">
        <f t="shared" si="1"/>
        <v>0</v>
      </c>
    </row>
    <row r="31" spans="1:35">
      <c r="A31" t="s">
        <v>1</v>
      </c>
      <c r="B31" t="s">
        <v>8</v>
      </c>
      <c r="C31" t="str">
        <f t="shared" si="0"/>
        <v>ts</v>
      </c>
      <c r="D31" s="19">
        <v>0.66666666666666674</v>
      </c>
      <c r="E31">
        <f t="shared" si="1"/>
        <v>6.6666666666666671E-3</v>
      </c>
    </row>
    <row r="32" spans="1:35">
      <c r="A32" t="s">
        <v>1</v>
      </c>
      <c r="B32" t="s">
        <v>9</v>
      </c>
      <c r="C32" t="str">
        <f t="shared" si="0"/>
        <v>tS</v>
      </c>
      <c r="D32" s="19">
        <v>0</v>
      </c>
      <c r="E32">
        <f t="shared" si="1"/>
        <v>0</v>
      </c>
    </row>
    <row r="33" spans="1:5">
      <c r="A33" t="s">
        <v>1</v>
      </c>
      <c r="B33" t="s">
        <v>10</v>
      </c>
      <c r="C33" t="str">
        <f t="shared" si="0"/>
        <v>tz</v>
      </c>
      <c r="D33" s="19">
        <v>0</v>
      </c>
      <c r="E33">
        <f t="shared" si="1"/>
        <v>0</v>
      </c>
    </row>
    <row r="34" spans="1:5">
      <c r="A34" t="s">
        <v>1</v>
      </c>
      <c r="B34" t="s">
        <v>11</v>
      </c>
      <c r="C34" t="str">
        <f t="shared" si="0"/>
        <v>tf</v>
      </c>
      <c r="D34" s="19">
        <v>0</v>
      </c>
      <c r="E34">
        <f t="shared" si="1"/>
        <v>0</v>
      </c>
    </row>
    <row r="35" spans="1:5">
      <c r="A35" t="s">
        <v>1</v>
      </c>
      <c r="B35" t="s">
        <v>12</v>
      </c>
      <c r="C35" t="str">
        <f t="shared" si="0"/>
        <v>tT</v>
      </c>
      <c r="D35" s="19">
        <v>0.66666666666666674</v>
      </c>
      <c r="E35">
        <f t="shared" si="1"/>
        <v>6.6666666666666671E-3</v>
      </c>
    </row>
    <row r="36" spans="1:5">
      <c r="A36" t="s">
        <v>1</v>
      </c>
      <c r="B36" t="s">
        <v>13</v>
      </c>
      <c r="C36" t="str">
        <f t="shared" si="0"/>
        <v>tv</v>
      </c>
      <c r="D36" s="19">
        <v>0</v>
      </c>
      <c r="E36">
        <f t="shared" si="1"/>
        <v>0</v>
      </c>
    </row>
    <row r="37" spans="1:5">
      <c r="A37" t="s">
        <v>1</v>
      </c>
      <c r="B37" t="s">
        <v>14</v>
      </c>
      <c r="C37" t="str">
        <f t="shared" si="0"/>
        <v>tD</v>
      </c>
      <c r="D37" s="19">
        <v>1.3333333333333335</v>
      </c>
      <c r="E37">
        <f t="shared" si="1"/>
        <v>1.3333333333333334E-2</v>
      </c>
    </row>
    <row r="38" spans="1:5">
      <c r="A38" t="s">
        <v>1</v>
      </c>
      <c r="B38" t="s">
        <v>15</v>
      </c>
      <c r="C38" t="str">
        <f t="shared" si="0"/>
        <v>th</v>
      </c>
      <c r="D38" s="19">
        <v>0.66666666666666674</v>
      </c>
      <c r="E38">
        <f t="shared" si="1"/>
        <v>6.6666666666666671E-3</v>
      </c>
    </row>
    <row r="39" spans="1:5">
      <c r="A39" t="s">
        <v>1</v>
      </c>
      <c r="B39" t="s">
        <v>16</v>
      </c>
      <c r="C39" t="str">
        <f t="shared" si="0"/>
        <v>tn</v>
      </c>
      <c r="D39" s="19">
        <v>0</v>
      </c>
      <c r="E39">
        <f t="shared" si="1"/>
        <v>0</v>
      </c>
    </row>
    <row r="40" spans="1:5">
      <c r="A40" t="s">
        <v>1</v>
      </c>
      <c r="B40" t="s">
        <v>17</v>
      </c>
      <c r="C40" t="str">
        <f t="shared" si="0"/>
        <v>tm</v>
      </c>
      <c r="D40" s="19">
        <v>0.66666666666666674</v>
      </c>
      <c r="E40">
        <f t="shared" si="1"/>
        <v>6.6666666666666671E-3</v>
      </c>
    </row>
    <row r="41" spans="1:5">
      <c r="A41" t="s">
        <v>1</v>
      </c>
      <c r="B41" t="s">
        <v>18</v>
      </c>
      <c r="C41" t="str">
        <f t="shared" si="0"/>
        <v>tl</v>
      </c>
      <c r="D41" s="19">
        <v>0</v>
      </c>
      <c r="E41">
        <f t="shared" si="1"/>
        <v>0</v>
      </c>
    </row>
    <row r="42" spans="1:5">
      <c r="A42" t="s">
        <v>1</v>
      </c>
      <c r="B42" t="s">
        <v>19</v>
      </c>
      <c r="C42" t="s">
        <v>66</v>
      </c>
      <c r="D42" s="19">
        <v>2</v>
      </c>
      <c r="E42">
        <f t="shared" si="1"/>
        <v>0.02</v>
      </c>
    </row>
    <row r="43" spans="1:5">
      <c r="A43" t="s">
        <v>1</v>
      </c>
      <c r="B43" t="s">
        <v>20</v>
      </c>
      <c r="C43" t="str">
        <f t="shared" si="0"/>
        <v>tw</v>
      </c>
      <c r="D43" s="19">
        <v>0</v>
      </c>
      <c r="E43">
        <f t="shared" si="1"/>
        <v>0</v>
      </c>
    </row>
    <row r="44" spans="1:5">
      <c r="A44" t="s">
        <v>1</v>
      </c>
      <c r="B44" t="s">
        <v>21</v>
      </c>
      <c r="C44" t="str">
        <f t="shared" si="0"/>
        <v>ty</v>
      </c>
      <c r="D44" s="19">
        <v>0</v>
      </c>
      <c r="E44">
        <f t="shared" si="1"/>
        <v>0</v>
      </c>
    </row>
    <row r="45" spans="1:5">
      <c r="A45" t="s">
        <v>2</v>
      </c>
      <c r="B45" t="s">
        <v>0</v>
      </c>
      <c r="C45" t="str">
        <f t="shared" si="0"/>
        <v>kp</v>
      </c>
      <c r="D45" s="19">
        <v>8</v>
      </c>
      <c r="E45">
        <f t="shared" si="1"/>
        <v>0.08</v>
      </c>
    </row>
    <row r="46" spans="1:5">
      <c r="A46" t="s">
        <v>2</v>
      </c>
      <c r="B46" t="s">
        <v>1</v>
      </c>
      <c r="C46" t="str">
        <f t="shared" si="0"/>
        <v>kt</v>
      </c>
      <c r="D46" s="19">
        <v>13.333333333333334</v>
      </c>
      <c r="E46">
        <f t="shared" si="1"/>
        <v>0.13333333333333333</v>
      </c>
    </row>
    <row r="47" spans="1:5">
      <c r="A47" t="s">
        <v>2</v>
      </c>
      <c r="B47" t="s">
        <v>2</v>
      </c>
      <c r="C47" t="str">
        <f t="shared" si="0"/>
        <v>kk</v>
      </c>
      <c r="D47" s="19">
        <v>68</v>
      </c>
      <c r="E47">
        <f t="shared" si="1"/>
        <v>0.68</v>
      </c>
    </row>
    <row r="48" spans="1:5">
      <c r="A48" t="s">
        <v>2</v>
      </c>
      <c r="B48" t="s">
        <v>3</v>
      </c>
      <c r="C48" t="str">
        <f t="shared" si="0"/>
        <v>kb</v>
      </c>
      <c r="D48" s="19">
        <v>2.666666666666667</v>
      </c>
      <c r="E48">
        <f t="shared" si="1"/>
        <v>2.6666666666666668E-2</v>
      </c>
    </row>
    <row r="49" spans="1:5">
      <c r="A49" t="s">
        <v>2</v>
      </c>
      <c r="B49" t="s">
        <v>4</v>
      </c>
      <c r="C49" t="str">
        <f t="shared" si="0"/>
        <v>kd</v>
      </c>
      <c r="D49" s="19">
        <v>0.66666666666666674</v>
      </c>
      <c r="E49">
        <f t="shared" si="1"/>
        <v>6.6666666666666671E-3</v>
      </c>
    </row>
    <row r="50" spans="1:5">
      <c r="A50" t="s">
        <v>2</v>
      </c>
      <c r="B50" t="s">
        <v>5</v>
      </c>
      <c r="C50" t="str">
        <f t="shared" si="0"/>
        <v>kg</v>
      </c>
      <c r="D50" s="19">
        <v>0</v>
      </c>
      <c r="E50">
        <f t="shared" si="1"/>
        <v>0</v>
      </c>
    </row>
    <row r="51" spans="1:5">
      <c r="A51" t="s">
        <v>2</v>
      </c>
      <c r="B51" t="s">
        <v>6</v>
      </c>
      <c r="C51" t="str">
        <f t="shared" si="0"/>
        <v>kC</v>
      </c>
      <c r="D51" s="19">
        <v>2.666666666666667</v>
      </c>
      <c r="E51">
        <f t="shared" si="1"/>
        <v>2.6666666666666668E-2</v>
      </c>
    </row>
    <row r="52" spans="1:5">
      <c r="A52" t="s">
        <v>2</v>
      </c>
      <c r="B52" t="s">
        <v>7</v>
      </c>
      <c r="C52" t="str">
        <f t="shared" si="0"/>
        <v>kJ</v>
      </c>
      <c r="D52" s="19">
        <v>0.66666666666666674</v>
      </c>
      <c r="E52">
        <f t="shared" si="1"/>
        <v>6.6666666666666671E-3</v>
      </c>
    </row>
    <row r="53" spans="1:5">
      <c r="A53" t="s">
        <v>2</v>
      </c>
      <c r="B53" t="s">
        <v>8</v>
      </c>
      <c r="C53" t="str">
        <f t="shared" si="0"/>
        <v>ks</v>
      </c>
      <c r="D53" s="19">
        <v>0</v>
      </c>
      <c r="E53">
        <f t="shared" si="1"/>
        <v>0</v>
      </c>
    </row>
    <row r="54" spans="1:5">
      <c r="A54" t="s">
        <v>2</v>
      </c>
      <c r="B54" t="s">
        <v>9</v>
      </c>
      <c r="C54" t="str">
        <f t="shared" si="0"/>
        <v>kS</v>
      </c>
      <c r="D54" s="19">
        <v>0</v>
      </c>
      <c r="E54">
        <f t="shared" si="1"/>
        <v>0</v>
      </c>
    </row>
    <row r="55" spans="1:5">
      <c r="A55" t="s">
        <v>2</v>
      </c>
      <c r="B55" t="s">
        <v>10</v>
      </c>
      <c r="C55" t="str">
        <f t="shared" si="0"/>
        <v>kz</v>
      </c>
      <c r="D55" s="19">
        <v>0</v>
      </c>
      <c r="E55">
        <f t="shared" si="1"/>
        <v>0</v>
      </c>
    </row>
    <row r="56" spans="1:5">
      <c r="A56" t="s">
        <v>2</v>
      </c>
      <c r="B56" t="s">
        <v>11</v>
      </c>
      <c r="C56" t="str">
        <f t="shared" si="0"/>
        <v>kf</v>
      </c>
      <c r="D56" s="19">
        <v>0</v>
      </c>
      <c r="E56">
        <f t="shared" si="1"/>
        <v>0</v>
      </c>
    </row>
    <row r="57" spans="1:5">
      <c r="A57" t="s">
        <v>2</v>
      </c>
      <c r="B57" t="s">
        <v>12</v>
      </c>
      <c r="C57" t="str">
        <f t="shared" si="0"/>
        <v>kT</v>
      </c>
      <c r="D57" s="19">
        <v>0.66666666666666674</v>
      </c>
      <c r="E57">
        <f t="shared" si="1"/>
        <v>6.6666666666666671E-3</v>
      </c>
    </row>
    <row r="58" spans="1:5">
      <c r="A58" t="s">
        <v>2</v>
      </c>
      <c r="B58" t="s">
        <v>13</v>
      </c>
      <c r="C58" t="str">
        <f t="shared" si="0"/>
        <v>kv</v>
      </c>
      <c r="D58" s="19">
        <v>0</v>
      </c>
      <c r="E58">
        <f t="shared" si="1"/>
        <v>0</v>
      </c>
    </row>
    <row r="59" spans="1:5">
      <c r="A59" t="s">
        <v>2</v>
      </c>
      <c r="B59" t="s">
        <v>14</v>
      </c>
      <c r="C59" t="str">
        <f t="shared" si="0"/>
        <v>kD</v>
      </c>
      <c r="D59" s="19">
        <v>0</v>
      </c>
      <c r="E59">
        <f t="shared" si="1"/>
        <v>0</v>
      </c>
    </row>
    <row r="60" spans="1:5">
      <c r="A60" t="s">
        <v>2</v>
      </c>
      <c r="B60" t="s">
        <v>15</v>
      </c>
      <c r="C60" t="str">
        <f t="shared" si="0"/>
        <v>kh</v>
      </c>
      <c r="D60" s="19">
        <v>0.66666666666666674</v>
      </c>
      <c r="E60">
        <f t="shared" si="1"/>
        <v>6.6666666666666671E-3</v>
      </c>
    </row>
    <row r="61" spans="1:5">
      <c r="A61" t="s">
        <v>2</v>
      </c>
      <c r="B61" t="s">
        <v>16</v>
      </c>
      <c r="C61" t="str">
        <f t="shared" si="0"/>
        <v>kn</v>
      </c>
      <c r="D61" s="19">
        <v>0</v>
      </c>
      <c r="E61">
        <f t="shared" si="1"/>
        <v>0</v>
      </c>
    </row>
    <row r="62" spans="1:5">
      <c r="A62" t="s">
        <v>2</v>
      </c>
      <c r="B62" t="s">
        <v>17</v>
      </c>
      <c r="C62" t="str">
        <f t="shared" si="0"/>
        <v>km</v>
      </c>
      <c r="D62" s="19">
        <v>0</v>
      </c>
      <c r="E62">
        <f t="shared" si="1"/>
        <v>0</v>
      </c>
    </row>
    <row r="63" spans="1:5">
      <c r="A63" t="s">
        <v>2</v>
      </c>
      <c r="B63" t="s">
        <v>18</v>
      </c>
      <c r="C63" t="str">
        <f t="shared" si="0"/>
        <v>kl</v>
      </c>
      <c r="D63" s="19">
        <v>0</v>
      </c>
      <c r="E63">
        <f t="shared" si="1"/>
        <v>0</v>
      </c>
    </row>
    <row r="64" spans="1:5">
      <c r="A64" t="s">
        <v>2</v>
      </c>
      <c r="B64" t="s">
        <v>19</v>
      </c>
      <c r="C64" t="str">
        <f t="shared" si="0"/>
        <v>kr</v>
      </c>
      <c r="D64" s="19">
        <v>0.66666666666666674</v>
      </c>
      <c r="E64">
        <f t="shared" si="1"/>
        <v>6.6666666666666671E-3</v>
      </c>
    </row>
    <row r="65" spans="1:5">
      <c r="A65" t="s">
        <v>2</v>
      </c>
      <c r="B65" t="s">
        <v>20</v>
      </c>
      <c r="C65" t="str">
        <f t="shared" si="0"/>
        <v>kw</v>
      </c>
      <c r="D65" s="19">
        <v>0</v>
      </c>
      <c r="E65">
        <f t="shared" si="1"/>
        <v>0</v>
      </c>
    </row>
    <row r="66" spans="1:5">
      <c r="A66" t="s">
        <v>2</v>
      </c>
      <c r="B66" t="s">
        <v>21</v>
      </c>
      <c r="C66" t="str">
        <f t="shared" ref="C66:C133" si="2">CONCATENATE(A66, B66)</f>
        <v>ky</v>
      </c>
      <c r="D66" s="19">
        <v>0</v>
      </c>
      <c r="E66">
        <f t="shared" ref="E66:E129" si="3">D66/100</f>
        <v>0</v>
      </c>
    </row>
    <row r="67" spans="1:5">
      <c r="A67" t="s">
        <v>3</v>
      </c>
      <c r="B67" t="s">
        <v>0</v>
      </c>
      <c r="C67" t="str">
        <f t="shared" si="2"/>
        <v>bp</v>
      </c>
      <c r="D67" s="19">
        <v>6</v>
      </c>
      <c r="E67">
        <f t="shared" si="3"/>
        <v>0.06</v>
      </c>
    </row>
    <row r="68" spans="1:5">
      <c r="A68" t="s">
        <v>3</v>
      </c>
      <c r="B68" t="s">
        <v>1</v>
      </c>
      <c r="C68" t="str">
        <f t="shared" si="2"/>
        <v>bt</v>
      </c>
      <c r="D68" s="19">
        <v>4</v>
      </c>
      <c r="E68">
        <f t="shared" si="3"/>
        <v>0.04</v>
      </c>
    </row>
    <row r="69" spans="1:5">
      <c r="A69" t="s">
        <v>3</v>
      </c>
      <c r="B69" t="s">
        <v>2</v>
      </c>
      <c r="C69" t="str">
        <f t="shared" si="2"/>
        <v>bk</v>
      </c>
      <c r="D69" s="19">
        <v>4.666666666666667</v>
      </c>
      <c r="E69">
        <f t="shared" si="3"/>
        <v>4.6666666666666669E-2</v>
      </c>
    </row>
    <row r="70" spans="1:5">
      <c r="A70" t="s">
        <v>3</v>
      </c>
      <c r="B70" t="s">
        <v>3</v>
      </c>
      <c r="C70" t="str">
        <f t="shared" si="2"/>
        <v>bb</v>
      </c>
      <c r="D70" s="19">
        <v>26</v>
      </c>
      <c r="E70">
        <f t="shared" si="3"/>
        <v>0.26</v>
      </c>
    </row>
    <row r="71" spans="1:5">
      <c r="A71" t="s">
        <v>3</v>
      </c>
      <c r="B71" t="s">
        <v>4</v>
      </c>
      <c r="C71" t="str">
        <f t="shared" si="2"/>
        <v>bd</v>
      </c>
      <c r="D71" s="19">
        <v>20</v>
      </c>
      <c r="E71">
        <f t="shared" si="3"/>
        <v>0.2</v>
      </c>
    </row>
    <row r="72" spans="1:5">
      <c r="A72" t="s">
        <v>3</v>
      </c>
      <c r="B72" t="s">
        <v>5</v>
      </c>
      <c r="C72" t="str">
        <f t="shared" si="2"/>
        <v>bg</v>
      </c>
      <c r="D72" s="19">
        <v>6.666666666666667</v>
      </c>
      <c r="E72">
        <f t="shared" si="3"/>
        <v>6.6666666666666666E-2</v>
      </c>
    </row>
    <row r="73" spans="1:5">
      <c r="A73" t="s">
        <v>3</v>
      </c>
      <c r="B73" t="s">
        <v>6</v>
      </c>
      <c r="C73" t="str">
        <f t="shared" si="2"/>
        <v>bC</v>
      </c>
      <c r="D73" s="19">
        <v>0.66666666666666674</v>
      </c>
      <c r="E73">
        <f t="shared" si="3"/>
        <v>6.6666666666666671E-3</v>
      </c>
    </row>
    <row r="74" spans="1:5">
      <c r="A74" t="s">
        <v>3</v>
      </c>
      <c r="B74" t="s">
        <v>7</v>
      </c>
      <c r="C74" t="str">
        <f t="shared" si="2"/>
        <v>bJ</v>
      </c>
      <c r="D74" s="19">
        <v>0.66666666666666674</v>
      </c>
      <c r="E74">
        <f t="shared" si="3"/>
        <v>6.6666666666666671E-3</v>
      </c>
    </row>
    <row r="75" spans="1:5">
      <c r="A75" t="s">
        <v>3</v>
      </c>
      <c r="B75" t="s">
        <v>8</v>
      </c>
      <c r="C75" t="str">
        <f t="shared" si="2"/>
        <v>bs</v>
      </c>
      <c r="D75" s="19">
        <v>1.3333333333333335</v>
      </c>
      <c r="E75">
        <f t="shared" si="3"/>
        <v>1.3333333333333334E-2</v>
      </c>
    </row>
    <row r="76" spans="1:5">
      <c r="A76" t="s">
        <v>3</v>
      </c>
      <c r="B76" t="s">
        <v>9</v>
      </c>
      <c r="C76" t="str">
        <f t="shared" si="2"/>
        <v>bS</v>
      </c>
      <c r="D76" s="19">
        <v>0</v>
      </c>
      <c r="E76">
        <f t="shared" si="3"/>
        <v>0</v>
      </c>
    </row>
    <row r="77" spans="1:5">
      <c r="A77" t="s">
        <v>3</v>
      </c>
      <c r="B77" t="s">
        <v>10</v>
      </c>
      <c r="C77" t="str">
        <f t="shared" si="2"/>
        <v>bz</v>
      </c>
      <c r="D77" s="19">
        <v>0</v>
      </c>
      <c r="E77">
        <f t="shared" si="3"/>
        <v>0</v>
      </c>
    </row>
    <row r="78" spans="1:5">
      <c r="A78" t="s">
        <v>3</v>
      </c>
      <c r="B78" t="s">
        <v>11</v>
      </c>
      <c r="C78" t="str">
        <f t="shared" si="2"/>
        <v>bf</v>
      </c>
      <c r="D78" s="19">
        <v>7.333333333333333</v>
      </c>
      <c r="E78">
        <f t="shared" si="3"/>
        <v>7.3333333333333334E-2</v>
      </c>
    </row>
    <row r="79" spans="1:5">
      <c r="A79" t="s">
        <v>3</v>
      </c>
      <c r="B79" t="s">
        <v>12</v>
      </c>
      <c r="C79" t="str">
        <f t="shared" si="2"/>
        <v>bT</v>
      </c>
      <c r="D79" s="19">
        <v>2</v>
      </c>
      <c r="E79">
        <f t="shared" si="3"/>
        <v>0.02</v>
      </c>
    </row>
    <row r="80" spans="1:5">
      <c r="A80" t="s">
        <v>3</v>
      </c>
      <c r="B80" t="s">
        <v>13</v>
      </c>
      <c r="C80" t="str">
        <f t="shared" si="2"/>
        <v>bv</v>
      </c>
      <c r="D80" s="19">
        <v>6</v>
      </c>
      <c r="E80">
        <f t="shared" si="3"/>
        <v>0.06</v>
      </c>
    </row>
    <row r="81" spans="1:5">
      <c r="A81" t="s">
        <v>3</v>
      </c>
      <c r="B81" t="s">
        <v>14</v>
      </c>
      <c r="C81" t="str">
        <f t="shared" si="2"/>
        <v>bD</v>
      </c>
      <c r="D81" s="19">
        <v>8</v>
      </c>
      <c r="E81">
        <f t="shared" si="3"/>
        <v>0.08</v>
      </c>
    </row>
    <row r="82" spans="1:5">
      <c r="A82" t="s">
        <v>3</v>
      </c>
      <c r="B82" t="s">
        <v>15</v>
      </c>
      <c r="C82" t="str">
        <f t="shared" si="2"/>
        <v>bh</v>
      </c>
      <c r="D82" s="19">
        <v>0</v>
      </c>
      <c r="E82">
        <f t="shared" si="3"/>
        <v>0</v>
      </c>
    </row>
    <row r="83" spans="1:5">
      <c r="A83" t="s">
        <v>3</v>
      </c>
      <c r="B83" t="s">
        <v>16</v>
      </c>
      <c r="C83" t="str">
        <f t="shared" si="2"/>
        <v>bn</v>
      </c>
      <c r="D83" s="19">
        <v>0</v>
      </c>
      <c r="E83">
        <f t="shared" si="3"/>
        <v>0</v>
      </c>
    </row>
    <row r="84" spans="1:5">
      <c r="A84" t="s">
        <v>3</v>
      </c>
      <c r="B84" t="s">
        <v>17</v>
      </c>
      <c r="C84" t="str">
        <f t="shared" si="2"/>
        <v>bm</v>
      </c>
      <c r="D84" s="19">
        <v>0</v>
      </c>
      <c r="E84">
        <f t="shared" si="3"/>
        <v>0</v>
      </c>
    </row>
    <row r="85" spans="1:5">
      <c r="A85" t="s">
        <v>3</v>
      </c>
      <c r="B85" t="s">
        <v>18</v>
      </c>
      <c r="C85" t="str">
        <f t="shared" si="2"/>
        <v>bl</v>
      </c>
      <c r="D85" s="19">
        <v>2</v>
      </c>
      <c r="E85">
        <f t="shared" si="3"/>
        <v>0.02</v>
      </c>
    </row>
    <row r="86" spans="1:5">
      <c r="A86" t="s">
        <v>3</v>
      </c>
      <c r="B86" t="s">
        <v>19</v>
      </c>
      <c r="C86" t="str">
        <f t="shared" si="2"/>
        <v>br</v>
      </c>
      <c r="D86" s="19">
        <v>0.66666666666666674</v>
      </c>
      <c r="E86">
        <f t="shared" si="3"/>
        <v>6.6666666666666671E-3</v>
      </c>
    </row>
    <row r="87" spans="1:5">
      <c r="A87" t="s">
        <v>3</v>
      </c>
      <c r="B87" t="s">
        <v>20</v>
      </c>
      <c r="C87" t="str">
        <f t="shared" si="2"/>
        <v>bw</v>
      </c>
      <c r="D87" s="19">
        <v>0.66666666666666674</v>
      </c>
      <c r="E87">
        <f t="shared" si="3"/>
        <v>6.6666666666666671E-3</v>
      </c>
    </row>
    <row r="88" spans="1:5">
      <c r="A88" t="s">
        <v>3</v>
      </c>
      <c r="B88" t="s">
        <v>21</v>
      </c>
      <c r="C88" t="str">
        <f t="shared" si="2"/>
        <v>by</v>
      </c>
      <c r="D88" s="19">
        <v>0.66666666666666674</v>
      </c>
      <c r="E88">
        <f t="shared" si="3"/>
        <v>6.6666666666666671E-3</v>
      </c>
    </row>
    <row r="89" spans="1:5">
      <c r="A89" t="s">
        <v>4</v>
      </c>
      <c r="B89" t="s">
        <v>0</v>
      </c>
      <c r="C89" t="str">
        <f t="shared" si="2"/>
        <v>dp</v>
      </c>
      <c r="D89">
        <v>0.66666666666666674</v>
      </c>
      <c r="E89">
        <f t="shared" si="3"/>
        <v>6.6666666666666671E-3</v>
      </c>
    </row>
    <row r="90" spans="1:5">
      <c r="A90" t="s">
        <v>4</v>
      </c>
      <c r="B90" t="s">
        <v>1</v>
      </c>
      <c r="C90" t="str">
        <f t="shared" si="2"/>
        <v>dt</v>
      </c>
      <c r="D90">
        <v>4</v>
      </c>
      <c r="E90">
        <f t="shared" si="3"/>
        <v>0.04</v>
      </c>
    </row>
    <row r="91" spans="1:5">
      <c r="A91" t="s">
        <v>4</v>
      </c>
      <c r="B91" t="s">
        <v>2</v>
      </c>
      <c r="C91" t="str">
        <f t="shared" si="2"/>
        <v>dk</v>
      </c>
      <c r="D91">
        <v>0</v>
      </c>
      <c r="E91">
        <f t="shared" si="3"/>
        <v>0</v>
      </c>
    </row>
    <row r="92" spans="1:5">
      <c r="A92" t="s">
        <v>4</v>
      </c>
      <c r="B92" t="s">
        <v>3</v>
      </c>
      <c r="C92" t="str">
        <f t="shared" si="2"/>
        <v>db</v>
      </c>
      <c r="D92">
        <v>2.666666666666667</v>
      </c>
      <c r="E92">
        <f t="shared" si="3"/>
        <v>2.6666666666666668E-2</v>
      </c>
    </row>
    <row r="93" spans="1:5">
      <c r="A93" t="s">
        <v>4</v>
      </c>
      <c r="B93" t="s">
        <v>4</v>
      </c>
      <c r="C93" t="str">
        <f t="shared" si="2"/>
        <v>dd</v>
      </c>
      <c r="D93">
        <v>76</v>
      </c>
      <c r="E93">
        <f t="shared" si="3"/>
        <v>0.76</v>
      </c>
    </row>
    <row r="94" spans="1:5">
      <c r="A94" t="s">
        <v>4</v>
      </c>
      <c r="B94" t="s">
        <v>5</v>
      </c>
      <c r="C94" t="str">
        <f t="shared" si="2"/>
        <v>dg</v>
      </c>
      <c r="D94">
        <v>3.3333333333333335</v>
      </c>
      <c r="E94">
        <f t="shared" si="3"/>
        <v>3.3333333333333333E-2</v>
      </c>
    </row>
    <row r="95" spans="1:5">
      <c r="A95" t="s">
        <v>4</v>
      </c>
      <c r="B95" t="s">
        <v>6</v>
      </c>
      <c r="C95" t="str">
        <f t="shared" si="2"/>
        <v>dC</v>
      </c>
      <c r="D95">
        <v>1.3333333333333335</v>
      </c>
      <c r="E95">
        <f t="shared" si="3"/>
        <v>1.3333333333333334E-2</v>
      </c>
    </row>
    <row r="96" spans="1:5">
      <c r="A96" t="s">
        <v>4</v>
      </c>
      <c r="B96" t="s">
        <v>7</v>
      </c>
      <c r="C96" t="str">
        <f t="shared" si="2"/>
        <v>dJ</v>
      </c>
      <c r="D96">
        <v>2</v>
      </c>
      <c r="E96">
        <f t="shared" si="3"/>
        <v>0.02</v>
      </c>
    </row>
    <row r="97" spans="1:5">
      <c r="A97" t="s">
        <v>4</v>
      </c>
      <c r="B97" t="s">
        <v>8</v>
      </c>
      <c r="C97" t="str">
        <f t="shared" si="2"/>
        <v>ds</v>
      </c>
      <c r="D97">
        <v>2</v>
      </c>
      <c r="E97">
        <f t="shared" si="3"/>
        <v>0.02</v>
      </c>
    </row>
    <row r="98" spans="1:5">
      <c r="A98" t="s">
        <v>4</v>
      </c>
      <c r="B98" t="s">
        <v>9</v>
      </c>
      <c r="C98" t="str">
        <f t="shared" si="2"/>
        <v>dS</v>
      </c>
      <c r="D98">
        <v>0</v>
      </c>
      <c r="E98">
        <f t="shared" si="3"/>
        <v>0</v>
      </c>
    </row>
    <row r="99" spans="1:5">
      <c r="A99" t="s">
        <v>4</v>
      </c>
      <c r="B99" t="s">
        <v>10</v>
      </c>
      <c r="C99" t="str">
        <f t="shared" si="2"/>
        <v>dz</v>
      </c>
      <c r="D99">
        <v>0.66666666666666674</v>
      </c>
      <c r="E99">
        <f t="shared" si="3"/>
        <v>6.6666666666666671E-3</v>
      </c>
    </row>
    <row r="100" spans="1:5">
      <c r="A100" t="s">
        <v>4</v>
      </c>
      <c r="B100" t="s">
        <v>11</v>
      </c>
      <c r="C100" t="str">
        <f t="shared" si="2"/>
        <v>df</v>
      </c>
      <c r="D100">
        <v>0.66666666666666674</v>
      </c>
      <c r="E100">
        <f t="shared" si="3"/>
        <v>6.6666666666666671E-3</v>
      </c>
    </row>
    <row r="101" spans="1:5">
      <c r="A101" t="s">
        <v>4</v>
      </c>
      <c r="B101" t="s">
        <v>12</v>
      </c>
      <c r="C101" t="str">
        <f t="shared" si="2"/>
        <v>dT</v>
      </c>
      <c r="D101">
        <v>3.3333333333333335</v>
      </c>
      <c r="E101">
        <f t="shared" si="3"/>
        <v>3.3333333333333333E-2</v>
      </c>
    </row>
    <row r="102" spans="1:5">
      <c r="A102" t="s">
        <v>4</v>
      </c>
      <c r="B102" t="s">
        <v>13</v>
      </c>
      <c r="C102" t="str">
        <f t="shared" si="2"/>
        <v>dv</v>
      </c>
      <c r="D102">
        <v>0</v>
      </c>
      <c r="E102">
        <f t="shared" si="3"/>
        <v>0</v>
      </c>
    </row>
    <row r="103" spans="1:5">
      <c r="A103" t="s">
        <v>4</v>
      </c>
      <c r="B103" t="s">
        <v>14</v>
      </c>
      <c r="C103" t="str">
        <f t="shared" si="2"/>
        <v>dD</v>
      </c>
      <c r="D103">
        <v>2.666666666666667</v>
      </c>
      <c r="E103">
        <f t="shared" si="3"/>
        <v>2.6666666666666668E-2</v>
      </c>
    </row>
    <row r="104" spans="1:5">
      <c r="A104" t="s">
        <v>4</v>
      </c>
      <c r="B104" t="s">
        <v>15</v>
      </c>
      <c r="C104" t="str">
        <f t="shared" si="2"/>
        <v>dh</v>
      </c>
      <c r="D104">
        <v>0</v>
      </c>
      <c r="E104">
        <f t="shared" si="3"/>
        <v>0</v>
      </c>
    </row>
    <row r="105" spans="1:5">
      <c r="A105" t="s">
        <v>4</v>
      </c>
      <c r="B105" t="s">
        <v>16</v>
      </c>
      <c r="C105" t="str">
        <f t="shared" si="2"/>
        <v>dn</v>
      </c>
      <c r="D105">
        <v>0</v>
      </c>
      <c r="E105">
        <f t="shared" si="3"/>
        <v>0</v>
      </c>
    </row>
    <row r="106" spans="1:5">
      <c r="A106" t="s">
        <v>4</v>
      </c>
      <c r="B106" t="s">
        <v>17</v>
      </c>
      <c r="C106" t="str">
        <f t="shared" si="2"/>
        <v>dm</v>
      </c>
      <c r="D106">
        <v>0</v>
      </c>
      <c r="E106">
        <f t="shared" si="3"/>
        <v>0</v>
      </c>
    </row>
    <row r="107" spans="1:5">
      <c r="A107" t="s">
        <v>4</v>
      </c>
      <c r="B107" t="s">
        <v>18</v>
      </c>
      <c r="C107" t="str">
        <f t="shared" si="2"/>
        <v>dl</v>
      </c>
      <c r="D107">
        <v>0</v>
      </c>
      <c r="E107">
        <f t="shared" si="3"/>
        <v>0</v>
      </c>
    </row>
    <row r="108" spans="1:5">
      <c r="A108" t="s">
        <v>4</v>
      </c>
      <c r="B108" t="s">
        <v>19</v>
      </c>
      <c r="C108" t="str">
        <f t="shared" si="2"/>
        <v>dr</v>
      </c>
      <c r="D108">
        <v>0</v>
      </c>
      <c r="E108">
        <f t="shared" si="3"/>
        <v>0</v>
      </c>
    </row>
    <row r="109" spans="1:5">
      <c r="A109" t="s">
        <v>4</v>
      </c>
      <c r="B109" t="s">
        <v>20</v>
      </c>
      <c r="C109" t="str">
        <f t="shared" si="2"/>
        <v>dw</v>
      </c>
      <c r="D109">
        <v>0</v>
      </c>
      <c r="E109">
        <f t="shared" si="3"/>
        <v>0</v>
      </c>
    </row>
    <row r="110" spans="1:5">
      <c r="A110" t="s">
        <v>4</v>
      </c>
      <c r="B110" t="s">
        <v>21</v>
      </c>
      <c r="C110" t="str">
        <f t="shared" si="2"/>
        <v>dy</v>
      </c>
      <c r="D110">
        <v>0</v>
      </c>
      <c r="E110">
        <f t="shared" si="3"/>
        <v>0</v>
      </c>
    </row>
    <row r="111" spans="1:5">
      <c r="A111" t="s">
        <v>5</v>
      </c>
      <c r="B111" t="s">
        <v>0</v>
      </c>
      <c r="C111" t="str">
        <f t="shared" si="2"/>
        <v>gp</v>
      </c>
      <c r="D111">
        <v>0.66666666666666674</v>
      </c>
      <c r="E111">
        <f t="shared" si="3"/>
        <v>6.6666666666666671E-3</v>
      </c>
    </row>
    <row r="112" spans="1:5">
      <c r="A112" t="s">
        <v>5</v>
      </c>
      <c r="B112" t="s">
        <v>1</v>
      </c>
      <c r="C112" t="str">
        <f t="shared" si="2"/>
        <v>gt</v>
      </c>
      <c r="D112">
        <v>0</v>
      </c>
      <c r="E112">
        <f t="shared" si="3"/>
        <v>0</v>
      </c>
    </row>
    <row r="113" spans="1:5">
      <c r="A113" t="s">
        <v>5</v>
      </c>
      <c r="B113" t="s">
        <v>2</v>
      </c>
      <c r="C113" t="str">
        <f t="shared" si="2"/>
        <v>gk</v>
      </c>
      <c r="D113">
        <v>0.66666666666666674</v>
      </c>
      <c r="E113">
        <f t="shared" si="3"/>
        <v>6.6666666666666671E-3</v>
      </c>
    </row>
    <row r="114" spans="1:5">
      <c r="A114" t="s">
        <v>5</v>
      </c>
      <c r="B114" t="s">
        <v>3</v>
      </c>
      <c r="C114" t="str">
        <f t="shared" si="2"/>
        <v>gb</v>
      </c>
      <c r="D114">
        <v>4.666666666666667</v>
      </c>
      <c r="E114">
        <f t="shared" si="3"/>
        <v>4.6666666666666669E-2</v>
      </c>
    </row>
    <row r="115" spans="1:5">
      <c r="A115" t="s">
        <v>5</v>
      </c>
      <c r="B115" t="s">
        <v>4</v>
      </c>
      <c r="C115" t="str">
        <f t="shared" si="2"/>
        <v>gd</v>
      </c>
      <c r="D115">
        <v>14</v>
      </c>
      <c r="E115">
        <f t="shared" si="3"/>
        <v>0.14000000000000001</v>
      </c>
    </row>
    <row r="116" spans="1:5">
      <c r="A116" t="s">
        <v>5</v>
      </c>
      <c r="B116" t="s">
        <v>5</v>
      </c>
      <c r="C116" t="str">
        <f t="shared" si="2"/>
        <v>gg</v>
      </c>
      <c r="D116">
        <v>49.333333333333336</v>
      </c>
      <c r="E116">
        <f t="shared" si="3"/>
        <v>0.49333333333333335</v>
      </c>
    </row>
    <row r="117" spans="1:5">
      <c r="A117" t="s">
        <v>5</v>
      </c>
      <c r="B117" t="s">
        <v>6</v>
      </c>
      <c r="C117" t="str">
        <f t="shared" si="2"/>
        <v>gC</v>
      </c>
      <c r="D117">
        <v>0</v>
      </c>
      <c r="E117">
        <f t="shared" si="3"/>
        <v>0</v>
      </c>
    </row>
    <row r="118" spans="1:5">
      <c r="A118" t="s">
        <v>5</v>
      </c>
      <c r="B118" t="s">
        <v>7</v>
      </c>
      <c r="C118" t="str">
        <f t="shared" si="2"/>
        <v>gJ</v>
      </c>
      <c r="D118">
        <v>2</v>
      </c>
      <c r="E118">
        <f t="shared" si="3"/>
        <v>0.02</v>
      </c>
    </row>
    <row r="119" spans="1:5">
      <c r="A119" t="s">
        <v>5</v>
      </c>
      <c r="B119" t="s">
        <v>8</v>
      </c>
      <c r="C119" t="str">
        <f t="shared" si="2"/>
        <v>gs</v>
      </c>
      <c r="D119">
        <v>2</v>
      </c>
      <c r="E119">
        <f t="shared" si="3"/>
        <v>0.02</v>
      </c>
    </row>
    <row r="120" spans="1:5">
      <c r="A120" t="s">
        <v>5</v>
      </c>
      <c r="B120" t="s">
        <v>9</v>
      </c>
      <c r="C120" t="str">
        <f t="shared" si="2"/>
        <v>gS</v>
      </c>
      <c r="D120">
        <v>0</v>
      </c>
      <c r="E120">
        <f t="shared" si="3"/>
        <v>0</v>
      </c>
    </row>
    <row r="121" spans="1:5">
      <c r="A121" t="s">
        <v>5</v>
      </c>
      <c r="B121" t="s">
        <v>10</v>
      </c>
      <c r="C121" t="str">
        <f t="shared" si="2"/>
        <v>gz</v>
      </c>
      <c r="D121">
        <v>0</v>
      </c>
      <c r="E121">
        <f t="shared" si="3"/>
        <v>0</v>
      </c>
    </row>
    <row r="122" spans="1:5">
      <c r="A122" t="s">
        <v>5</v>
      </c>
      <c r="B122" t="s">
        <v>11</v>
      </c>
      <c r="C122" t="str">
        <f t="shared" si="2"/>
        <v>gf</v>
      </c>
      <c r="D122">
        <v>0.66666666666666674</v>
      </c>
      <c r="E122">
        <f t="shared" si="3"/>
        <v>6.6666666666666671E-3</v>
      </c>
    </row>
    <row r="123" spans="1:5">
      <c r="A123" t="s">
        <v>5</v>
      </c>
      <c r="B123" t="s">
        <v>12</v>
      </c>
      <c r="C123" t="str">
        <f t="shared" si="2"/>
        <v>gT</v>
      </c>
      <c r="D123">
        <v>0</v>
      </c>
      <c r="E123">
        <f t="shared" si="3"/>
        <v>0</v>
      </c>
    </row>
    <row r="124" spans="1:5">
      <c r="A124" t="s">
        <v>5</v>
      </c>
      <c r="B124" t="s">
        <v>13</v>
      </c>
      <c r="C124" t="str">
        <f t="shared" si="2"/>
        <v>gv</v>
      </c>
      <c r="D124">
        <v>5.3333333333333339</v>
      </c>
      <c r="E124">
        <f t="shared" si="3"/>
        <v>5.3333333333333337E-2</v>
      </c>
    </row>
    <row r="125" spans="1:5">
      <c r="A125" t="s">
        <v>5</v>
      </c>
      <c r="B125" t="s">
        <v>14</v>
      </c>
      <c r="C125" t="str">
        <f t="shared" si="2"/>
        <v>gD</v>
      </c>
      <c r="D125">
        <v>0.66666666666666674</v>
      </c>
      <c r="E125">
        <f t="shared" si="3"/>
        <v>6.6666666666666671E-3</v>
      </c>
    </row>
    <row r="126" spans="1:5">
      <c r="A126" t="s">
        <v>5</v>
      </c>
      <c r="B126" t="s">
        <v>15</v>
      </c>
      <c r="C126" t="str">
        <f t="shared" si="2"/>
        <v>gh</v>
      </c>
      <c r="D126">
        <v>1.3333333333333335</v>
      </c>
      <c r="E126">
        <f t="shared" si="3"/>
        <v>1.3333333333333334E-2</v>
      </c>
    </row>
    <row r="127" spans="1:5">
      <c r="A127" t="s">
        <v>5</v>
      </c>
      <c r="B127" t="s">
        <v>16</v>
      </c>
      <c r="C127" t="str">
        <f t="shared" si="2"/>
        <v>gn</v>
      </c>
      <c r="D127">
        <v>0</v>
      </c>
      <c r="E127">
        <f t="shared" si="3"/>
        <v>0</v>
      </c>
    </row>
    <row r="128" spans="1:5">
      <c r="A128" t="s">
        <v>5</v>
      </c>
      <c r="B128" t="s">
        <v>17</v>
      </c>
      <c r="C128" t="str">
        <f t="shared" si="2"/>
        <v>gm</v>
      </c>
      <c r="D128">
        <v>0</v>
      </c>
      <c r="E128">
        <f t="shared" si="3"/>
        <v>0</v>
      </c>
    </row>
    <row r="129" spans="1:5">
      <c r="A129" t="s">
        <v>5</v>
      </c>
      <c r="B129" t="s">
        <v>18</v>
      </c>
      <c r="C129" t="str">
        <f t="shared" si="2"/>
        <v>gl</v>
      </c>
      <c r="D129">
        <v>0</v>
      </c>
      <c r="E129">
        <f t="shared" si="3"/>
        <v>0</v>
      </c>
    </row>
    <row r="130" spans="1:5">
      <c r="A130" t="s">
        <v>5</v>
      </c>
      <c r="B130" t="s">
        <v>19</v>
      </c>
      <c r="C130" t="str">
        <f t="shared" si="2"/>
        <v>gr</v>
      </c>
      <c r="D130">
        <v>1.3333333333333335</v>
      </c>
      <c r="E130">
        <f t="shared" ref="E130:E193" si="4">D130/100</f>
        <v>1.3333333333333334E-2</v>
      </c>
    </row>
    <row r="131" spans="1:5">
      <c r="A131" t="s">
        <v>5</v>
      </c>
      <c r="B131" t="s">
        <v>20</v>
      </c>
      <c r="C131" t="str">
        <f t="shared" si="2"/>
        <v>gw</v>
      </c>
      <c r="D131">
        <v>3.3333333333333335</v>
      </c>
      <c r="E131">
        <f t="shared" si="4"/>
        <v>3.3333333333333333E-2</v>
      </c>
    </row>
    <row r="132" spans="1:5">
      <c r="A132" t="s">
        <v>5</v>
      </c>
      <c r="B132" t="s">
        <v>21</v>
      </c>
      <c r="C132" t="str">
        <f t="shared" si="2"/>
        <v>gy</v>
      </c>
      <c r="D132">
        <v>11.333333333333332</v>
      </c>
      <c r="E132">
        <f t="shared" si="4"/>
        <v>0.11333333333333333</v>
      </c>
    </row>
    <row r="133" spans="1:5">
      <c r="A133" t="s">
        <v>6</v>
      </c>
      <c r="B133" t="s">
        <v>0</v>
      </c>
      <c r="C133" t="str">
        <f t="shared" si="2"/>
        <v>Cp</v>
      </c>
      <c r="D133">
        <v>0</v>
      </c>
      <c r="E133">
        <f t="shared" si="4"/>
        <v>0</v>
      </c>
    </row>
    <row r="134" spans="1:5">
      <c r="A134" t="s">
        <v>6</v>
      </c>
      <c r="B134" t="s">
        <v>1</v>
      </c>
      <c r="C134" t="str">
        <f t="shared" ref="C134:C197" si="5">CONCATENATE(A134, B134)</f>
        <v>Ct</v>
      </c>
      <c r="D134">
        <v>4.666666666666667</v>
      </c>
      <c r="E134">
        <f t="shared" si="4"/>
        <v>4.6666666666666669E-2</v>
      </c>
    </row>
    <row r="135" spans="1:5">
      <c r="A135" t="s">
        <v>6</v>
      </c>
      <c r="B135" t="s">
        <v>2</v>
      </c>
      <c r="C135" t="str">
        <f t="shared" si="5"/>
        <v>Ck</v>
      </c>
      <c r="D135">
        <v>0.66666666666666674</v>
      </c>
      <c r="E135">
        <f t="shared" si="4"/>
        <v>6.6666666666666671E-3</v>
      </c>
    </row>
    <row r="136" spans="1:5">
      <c r="A136" t="s">
        <v>6</v>
      </c>
      <c r="B136" t="s">
        <v>3</v>
      </c>
      <c r="C136" t="str">
        <f t="shared" si="5"/>
        <v>Cb</v>
      </c>
      <c r="D136">
        <v>0</v>
      </c>
      <c r="E136">
        <f t="shared" si="4"/>
        <v>0</v>
      </c>
    </row>
    <row r="137" spans="1:5">
      <c r="A137" t="s">
        <v>6</v>
      </c>
      <c r="B137" t="s">
        <v>4</v>
      </c>
      <c r="C137" t="str">
        <f t="shared" si="5"/>
        <v>Cd</v>
      </c>
      <c r="D137">
        <v>0</v>
      </c>
      <c r="E137">
        <f t="shared" si="4"/>
        <v>0</v>
      </c>
    </row>
    <row r="138" spans="1:5">
      <c r="A138" t="s">
        <v>6</v>
      </c>
      <c r="B138" t="s">
        <v>5</v>
      </c>
      <c r="C138" t="str">
        <f t="shared" si="5"/>
        <v>Cg</v>
      </c>
      <c r="D138">
        <v>0</v>
      </c>
      <c r="E138">
        <f t="shared" si="4"/>
        <v>0</v>
      </c>
    </row>
    <row r="139" spans="1:5">
      <c r="A139" t="s">
        <v>6</v>
      </c>
      <c r="B139" t="s">
        <v>6</v>
      </c>
      <c r="C139" t="str">
        <f t="shared" si="5"/>
        <v>CC</v>
      </c>
      <c r="D139">
        <v>92</v>
      </c>
      <c r="E139">
        <f t="shared" si="4"/>
        <v>0.92</v>
      </c>
    </row>
    <row r="140" spans="1:5">
      <c r="A140" t="s">
        <v>6</v>
      </c>
      <c r="B140" t="s">
        <v>7</v>
      </c>
      <c r="C140" t="str">
        <f t="shared" si="5"/>
        <v>CJ</v>
      </c>
      <c r="D140">
        <v>0</v>
      </c>
      <c r="E140">
        <f t="shared" si="4"/>
        <v>0</v>
      </c>
    </row>
    <row r="141" spans="1:5">
      <c r="A141" t="s">
        <v>6</v>
      </c>
      <c r="B141" t="s">
        <v>8</v>
      </c>
      <c r="C141" t="str">
        <f t="shared" si="5"/>
        <v>Cs</v>
      </c>
      <c r="D141">
        <v>0</v>
      </c>
      <c r="E141">
        <f t="shared" si="4"/>
        <v>0</v>
      </c>
    </row>
    <row r="142" spans="1:5">
      <c r="A142" t="s">
        <v>6</v>
      </c>
      <c r="B142" t="s">
        <v>9</v>
      </c>
      <c r="C142" t="str">
        <f t="shared" si="5"/>
        <v>CS</v>
      </c>
      <c r="D142">
        <v>1.3333333333333335</v>
      </c>
      <c r="E142">
        <f t="shared" si="4"/>
        <v>1.3333333333333334E-2</v>
      </c>
    </row>
    <row r="143" spans="1:5">
      <c r="A143" t="s">
        <v>6</v>
      </c>
      <c r="B143" t="s">
        <v>10</v>
      </c>
      <c r="C143" t="str">
        <f t="shared" si="5"/>
        <v>Cz</v>
      </c>
      <c r="D143">
        <v>0</v>
      </c>
      <c r="E143">
        <f t="shared" si="4"/>
        <v>0</v>
      </c>
    </row>
    <row r="144" spans="1:5">
      <c r="A144" t="s">
        <v>6</v>
      </c>
      <c r="B144" t="s">
        <v>11</v>
      </c>
      <c r="C144" t="str">
        <f t="shared" si="5"/>
        <v>Cf</v>
      </c>
      <c r="D144">
        <v>0</v>
      </c>
      <c r="E144">
        <f t="shared" si="4"/>
        <v>0</v>
      </c>
    </row>
    <row r="145" spans="1:5">
      <c r="A145" t="s">
        <v>6</v>
      </c>
      <c r="B145" t="s">
        <v>12</v>
      </c>
      <c r="C145" t="str">
        <f t="shared" si="5"/>
        <v>CT</v>
      </c>
      <c r="D145">
        <v>0</v>
      </c>
      <c r="E145">
        <f t="shared" si="4"/>
        <v>0</v>
      </c>
    </row>
    <row r="146" spans="1:5">
      <c r="A146" t="s">
        <v>6</v>
      </c>
      <c r="B146" t="s">
        <v>13</v>
      </c>
      <c r="C146" t="str">
        <f t="shared" si="5"/>
        <v>Cv</v>
      </c>
      <c r="D146">
        <v>0</v>
      </c>
      <c r="E146">
        <f t="shared" si="4"/>
        <v>0</v>
      </c>
    </row>
    <row r="147" spans="1:5">
      <c r="A147" t="s">
        <v>6</v>
      </c>
      <c r="B147" t="s">
        <v>14</v>
      </c>
      <c r="C147" t="str">
        <f t="shared" si="5"/>
        <v>CD</v>
      </c>
      <c r="D147">
        <v>0</v>
      </c>
      <c r="E147">
        <f t="shared" si="4"/>
        <v>0</v>
      </c>
    </row>
    <row r="148" spans="1:5">
      <c r="A148" t="s">
        <v>6</v>
      </c>
      <c r="B148" t="s">
        <v>15</v>
      </c>
      <c r="C148" t="str">
        <f t="shared" si="5"/>
        <v>Ch</v>
      </c>
      <c r="D148">
        <v>0</v>
      </c>
      <c r="E148">
        <f t="shared" si="4"/>
        <v>0</v>
      </c>
    </row>
    <row r="149" spans="1:5">
      <c r="A149" t="s">
        <v>6</v>
      </c>
      <c r="B149" t="s">
        <v>16</v>
      </c>
      <c r="C149" t="str">
        <f t="shared" si="5"/>
        <v>Cn</v>
      </c>
      <c r="D149">
        <v>0.66666666666666674</v>
      </c>
      <c r="E149">
        <f t="shared" si="4"/>
        <v>6.6666666666666671E-3</v>
      </c>
    </row>
    <row r="150" spans="1:5">
      <c r="A150" t="s">
        <v>6</v>
      </c>
      <c r="B150" t="s">
        <v>17</v>
      </c>
      <c r="C150" t="str">
        <f t="shared" si="5"/>
        <v>Cm</v>
      </c>
      <c r="D150">
        <v>0</v>
      </c>
      <c r="E150">
        <f t="shared" si="4"/>
        <v>0</v>
      </c>
    </row>
    <row r="151" spans="1:5">
      <c r="A151" t="s">
        <v>6</v>
      </c>
      <c r="B151" t="s">
        <v>18</v>
      </c>
      <c r="C151" t="str">
        <f t="shared" si="5"/>
        <v>Cl</v>
      </c>
      <c r="D151">
        <v>0</v>
      </c>
      <c r="E151">
        <f t="shared" si="4"/>
        <v>0</v>
      </c>
    </row>
    <row r="152" spans="1:5">
      <c r="A152" t="s">
        <v>6</v>
      </c>
      <c r="B152" t="s">
        <v>19</v>
      </c>
      <c r="C152" t="str">
        <f t="shared" si="5"/>
        <v>Cr</v>
      </c>
      <c r="D152">
        <v>0</v>
      </c>
      <c r="E152">
        <f t="shared" si="4"/>
        <v>0</v>
      </c>
    </row>
    <row r="153" spans="1:5">
      <c r="A153" t="s">
        <v>6</v>
      </c>
      <c r="B153" t="s">
        <v>20</v>
      </c>
      <c r="C153" t="str">
        <f t="shared" si="5"/>
        <v>Cw</v>
      </c>
      <c r="D153">
        <v>0</v>
      </c>
      <c r="E153">
        <f t="shared" si="4"/>
        <v>0</v>
      </c>
    </row>
    <row r="154" spans="1:5">
      <c r="A154" t="s">
        <v>6</v>
      </c>
      <c r="B154" t="s">
        <v>21</v>
      </c>
      <c r="C154" t="str">
        <f t="shared" si="5"/>
        <v>Cy</v>
      </c>
      <c r="D154">
        <v>0</v>
      </c>
      <c r="E154">
        <f t="shared" si="4"/>
        <v>0</v>
      </c>
    </row>
    <row r="155" spans="1:5">
      <c r="A155" t="s">
        <v>7</v>
      </c>
      <c r="B155" t="s">
        <v>0</v>
      </c>
      <c r="C155" t="str">
        <f t="shared" si="5"/>
        <v>Jp</v>
      </c>
      <c r="D155">
        <v>0</v>
      </c>
      <c r="E155">
        <f t="shared" si="4"/>
        <v>0</v>
      </c>
    </row>
    <row r="156" spans="1:5">
      <c r="A156" t="s">
        <v>7</v>
      </c>
      <c r="B156" t="s">
        <v>1</v>
      </c>
      <c r="C156" t="str">
        <f t="shared" si="5"/>
        <v>Jt</v>
      </c>
      <c r="D156">
        <v>0.66666666666666674</v>
      </c>
      <c r="E156">
        <f t="shared" si="4"/>
        <v>6.6666666666666671E-3</v>
      </c>
    </row>
    <row r="157" spans="1:5">
      <c r="A157" t="s">
        <v>7</v>
      </c>
      <c r="B157" t="s">
        <v>2</v>
      </c>
      <c r="C157" t="str">
        <f t="shared" si="5"/>
        <v>Jk</v>
      </c>
      <c r="D157">
        <v>0</v>
      </c>
      <c r="E157">
        <f t="shared" si="4"/>
        <v>0</v>
      </c>
    </row>
    <row r="158" spans="1:5">
      <c r="A158" t="s">
        <v>7</v>
      </c>
      <c r="B158" t="s">
        <v>3</v>
      </c>
      <c r="C158" t="str">
        <f t="shared" si="5"/>
        <v>Jb</v>
      </c>
      <c r="D158">
        <v>0</v>
      </c>
      <c r="E158">
        <f t="shared" si="4"/>
        <v>0</v>
      </c>
    </row>
    <row r="159" spans="1:5">
      <c r="A159" t="s">
        <v>7</v>
      </c>
      <c r="B159" t="s">
        <v>4</v>
      </c>
      <c r="C159" t="str">
        <f t="shared" si="5"/>
        <v>Jd</v>
      </c>
      <c r="D159">
        <v>2</v>
      </c>
      <c r="E159">
        <f t="shared" si="4"/>
        <v>0.02</v>
      </c>
    </row>
    <row r="160" spans="1:5">
      <c r="A160" t="s">
        <v>7</v>
      </c>
      <c r="B160" t="s">
        <v>5</v>
      </c>
      <c r="C160" t="str">
        <f t="shared" si="5"/>
        <v>Jg</v>
      </c>
      <c r="D160">
        <v>6.666666666666667</v>
      </c>
      <c r="E160">
        <f t="shared" si="4"/>
        <v>6.6666666666666666E-2</v>
      </c>
    </row>
    <row r="161" spans="1:5">
      <c r="A161" t="s">
        <v>7</v>
      </c>
      <c r="B161" t="s">
        <v>6</v>
      </c>
      <c r="C161" t="str">
        <f t="shared" si="5"/>
        <v>JC</v>
      </c>
      <c r="D161">
        <v>2.666666666666667</v>
      </c>
      <c r="E161">
        <f t="shared" si="4"/>
        <v>2.6666666666666668E-2</v>
      </c>
    </row>
    <row r="162" spans="1:5">
      <c r="A162" t="s">
        <v>7</v>
      </c>
      <c r="B162" t="s">
        <v>7</v>
      </c>
      <c r="C162" t="str">
        <f t="shared" si="5"/>
        <v>JJ</v>
      </c>
      <c r="D162">
        <v>86.666666666666671</v>
      </c>
      <c r="E162">
        <f t="shared" si="4"/>
        <v>0.8666666666666667</v>
      </c>
    </row>
    <row r="163" spans="1:5">
      <c r="A163" t="s">
        <v>7</v>
      </c>
      <c r="B163" t="s">
        <v>8</v>
      </c>
      <c r="C163" t="str">
        <f t="shared" si="5"/>
        <v>Js</v>
      </c>
      <c r="D163">
        <v>0</v>
      </c>
      <c r="E163">
        <f t="shared" si="4"/>
        <v>0</v>
      </c>
    </row>
    <row r="164" spans="1:5">
      <c r="A164" t="s">
        <v>7</v>
      </c>
      <c r="B164" t="s">
        <v>9</v>
      </c>
      <c r="C164" t="str">
        <f t="shared" si="5"/>
        <v>JS</v>
      </c>
      <c r="D164">
        <v>0</v>
      </c>
      <c r="E164">
        <f t="shared" si="4"/>
        <v>0</v>
      </c>
    </row>
    <row r="165" spans="1:5">
      <c r="A165" t="s">
        <v>7</v>
      </c>
      <c r="B165" t="s">
        <v>10</v>
      </c>
      <c r="C165" t="str">
        <f t="shared" si="5"/>
        <v>Jz</v>
      </c>
      <c r="D165">
        <v>0</v>
      </c>
      <c r="E165">
        <f t="shared" si="4"/>
        <v>0</v>
      </c>
    </row>
    <row r="166" spans="1:5">
      <c r="A166" t="s">
        <v>7</v>
      </c>
      <c r="B166" t="s">
        <v>11</v>
      </c>
      <c r="C166" t="str">
        <f t="shared" si="5"/>
        <v>Jf</v>
      </c>
      <c r="D166">
        <v>0.66666666666666674</v>
      </c>
      <c r="E166">
        <f t="shared" si="4"/>
        <v>6.6666666666666671E-3</v>
      </c>
    </row>
    <row r="167" spans="1:5">
      <c r="A167" t="s">
        <v>7</v>
      </c>
      <c r="B167" t="s">
        <v>12</v>
      </c>
      <c r="C167" t="str">
        <f t="shared" si="5"/>
        <v>JT</v>
      </c>
      <c r="D167">
        <v>0</v>
      </c>
      <c r="E167">
        <f t="shared" si="4"/>
        <v>0</v>
      </c>
    </row>
    <row r="168" spans="1:5">
      <c r="A168" t="s">
        <v>7</v>
      </c>
      <c r="B168" t="s">
        <v>13</v>
      </c>
      <c r="C168" t="str">
        <f t="shared" si="5"/>
        <v>Jv</v>
      </c>
      <c r="D168">
        <v>0</v>
      </c>
      <c r="E168">
        <f t="shared" si="4"/>
        <v>0</v>
      </c>
    </row>
    <row r="169" spans="1:5">
      <c r="A169" t="s">
        <v>7</v>
      </c>
      <c r="B169" t="s">
        <v>14</v>
      </c>
      <c r="C169" t="str">
        <f t="shared" si="5"/>
        <v>JD</v>
      </c>
      <c r="D169">
        <v>0</v>
      </c>
      <c r="E169">
        <f t="shared" si="4"/>
        <v>0</v>
      </c>
    </row>
    <row r="170" spans="1:5">
      <c r="A170" t="s">
        <v>7</v>
      </c>
      <c r="B170" t="s">
        <v>15</v>
      </c>
      <c r="C170" t="str">
        <f t="shared" si="5"/>
        <v>Jh</v>
      </c>
      <c r="D170">
        <v>0</v>
      </c>
      <c r="E170">
        <f t="shared" si="4"/>
        <v>0</v>
      </c>
    </row>
    <row r="171" spans="1:5">
      <c r="A171" t="s">
        <v>7</v>
      </c>
      <c r="B171" t="s">
        <v>16</v>
      </c>
      <c r="C171" t="str">
        <f t="shared" si="5"/>
        <v>Jn</v>
      </c>
      <c r="D171">
        <v>0</v>
      </c>
      <c r="E171">
        <f t="shared" si="4"/>
        <v>0</v>
      </c>
    </row>
    <row r="172" spans="1:5">
      <c r="A172" t="s">
        <v>7</v>
      </c>
      <c r="B172" t="s">
        <v>17</v>
      </c>
      <c r="C172" t="str">
        <f t="shared" si="5"/>
        <v>Jm</v>
      </c>
      <c r="D172">
        <v>0</v>
      </c>
      <c r="E172">
        <f t="shared" si="4"/>
        <v>0</v>
      </c>
    </row>
    <row r="173" spans="1:5">
      <c r="A173" t="s">
        <v>7</v>
      </c>
      <c r="B173" t="s">
        <v>18</v>
      </c>
      <c r="C173" t="str">
        <f t="shared" si="5"/>
        <v>Jl</v>
      </c>
      <c r="D173">
        <v>0</v>
      </c>
      <c r="E173">
        <f t="shared" si="4"/>
        <v>0</v>
      </c>
    </row>
    <row r="174" spans="1:5">
      <c r="A174" t="s">
        <v>7</v>
      </c>
      <c r="B174" t="s">
        <v>19</v>
      </c>
      <c r="C174" t="str">
        <f t="shared" si="5"/>
        <v>Jr</v>
      </c>
      <c r="D174">
        <v>0</v>
      </c>
      <c r="E174">
        <f t="shared" si="4"/>
        <v>0</v>
      </c>
    </row>
    <row r="175" spans="1:5">
      <c r="A175" t="s">
        <v>7</v>
      </c>
      <c r="B175" t="s">
        <v>20</v>
      </c>
      <c r="C175" t="str">
        <f t="shared" si="5"/>
        <v>Jw</v>
      </c>
      <c r="D175">
        <v>0</v>
      </c>
      <c r="E175">
        <f t="shared" si="4"/>
        <v>0</v>
      </c>
    </row>
    <row r="176" spans="1:5">
      <c r="A176" t="s">
        <v>7</v>
      </c>
      <c r="B176" t="s">
        <v>21</v>
      </c>
      <c r="C176" t="str">
        <f t="shared" si="5"/>
        <v>Jy</v>
      </c>
      <c r="D176">
        <v>0</v>
      </c>
      <c r="E176">
        <f t="shared" si="4"/>
        <v>0</v>
      </c>
    </row>
    <row r="177" spans="1:5">
      <c r="A177" t="s">
        <v>8</v>
      </c>
      <c r="B177" t="s">
        <v>0</v>
      </c>
      <c r="C177" t="str">
        <f t="shared" si="5"/>
        <v>sp</v>
      </c>
      <c r="D177">
        <v>2</v>
      </c>
      <c r="E177">
        <f t="shared" si="4"/>
        <v>0.02</v>
      </c>
    </row>
    <row r="178" spans="1:5">
      <c r="A178" t="s">
        <v>8</v>
      </c>
      <c r="B178" t="s">
        <v>1</v>
      </c>
      <c r="C178" t="str">
        <f t="shared" si="5"/>
        <v>st</v>
      </c>
      <c r="D178">
        <v>12</v>
      </c>
      <c r="E178">
        <f t="shared" si="4"/>
        <v>0.12</v>
      </c>
    </row>
    <row r="179" spans="1:5">
      <c r="A179" t="s">
        <v>8</v>
      </c>
      <c r="B179" t="s">
        <v>2</v>
      </c>
      <c r="C179" t="str">
        <f t="shared" si="5"/>
        <v>sk</v>
      </c>
      <c r="D179">
        <v>0.66666666666666674</v>
      </c>
      <c r="E179">
        <f t="shared" si="4"/>
        <v>6.6666666666666671E-3</v>
      </c>
    </row>
    <row r="180" spans="1:5">
      <c r="A180" t="s">
        <v>8</v>
      </c>
      <c r="B180" t="s">
        <v>3</v>
      </c>
      <c r="C180" t="str">
        <f t="shared" si="5"/>
        <v>sb</v>
      </c>
      <c r="D180">
        <v>2</v>
      </c>
      <c r="E180">
        <f t="shared" si="4"/>
        <v>0.02</v>
      </c>
    </row>
    <row r="181" spans="1:5">
      <c r="A181" t="s">
        <v>8</v>
      </c>
      <c r="B181" t="s">
        <v>4</v>
      </c>
      <c r="C181" t="str">
        <f t="shared" si="5"/>
        <v>sd</v>
      </c>
      <c r="D181">
        <v>4.666666666666667</v>
      </c>
      <c r="E181">
        <f t="shared" si="4"/>
        <v>4.6666666666666669E-2</v>
      </c>
    </row>
    <row r="182" spans="1:5">
      <c r="A182" t="s">
        <v>8</v>
      </c>
      <c r="B182" t="s">
        <v>5</v>
      </c>
      <c r="C182" t="str">
        <f t="shared" si="5"/>
        <v>sg</v>
      </c>
      <c r="D182">
        <v>0</v>
      </c>
      <c r="E182">
        <f t="shared" si="4"/>
        <v>0</v>
      </c>
    </row>
    <row r="183" spans="1:5">
      <c r="A183" t="s">
        <v>8</v>
      </c>
      <c r="B183" t="s">
        <v>6</v>
      </c>
      <c r="C183" t="str">
        <f t="shared" si="5"/>
        <v>sC</v>
      </c>
      <c r="D183">
        <v>6</v>
      </c>
      <c r="E183">
        <f t="shared" si="4"/>
        <v>0.06</v>
      </c>
    </row>
    <row r="184" spans="1:5">
      <c r="A184" t="s">
        <v>8</v>
      </c>
      <c r="B184" t="s">
        <v>7</v>
      </c>
      <c r="C184" t="str">
        <f t="shared" si="5"/>
        <v>sJ</v>
      </c>
      <c r="D184">
        <v>2</v>
      </c>
      <c r="E184">
        <f t="shared" si="4"/>
        <v>0.02</v>
      </c>
    </row>
    <row r="185" spans="1:5">
      <c r="A185" t="s">
        <v>8</v>
      </c>
      <c r="B185" t="s">
        <v>8</v>
      </c>
      <c r="C185" t="str">
        <f t="shared" si="5"/>
        <v>ss</v>
      </c>
      <c r="D185">
        <v>36.666666666666664</v>
      </c>
      <c r="E185">
        <f t="shared" si="4"/>
        <v>0.36666666666666664</v>
      </c>
    </row>
    <row r="186" spans="1:5">
      <c r="A186" t="s">
        <v>8</v>
      </c>
      <c r="B186" t="s">
        <v>9</v>
      </c>
      <c r="C186" t="str">
        <f t="shared" si="5"/>
        <v>sS</v>
      </c>
      <c r="D186">
        <v>0.66666666666666674</v>
      </c>
      <c r="E186">
        <f t="shared" si="4"/>
        <v>6.6666666666666671E-3</v>
      </c>
    </row>
    <row r="187" spans="1:5">
      <c r="A187" t="s">
        <v>8</v>
      </c>
      <c r="B187" t="s">
        <v>10</v>
      </c>
      <c r="C187" t="str">
        <f t="shared" si="5"/>
        <v>sz</v>
      </c>
      <c r="D187">
        <v>10.666666666666668</v>
      </c>
      <c r="E187">
        <f t="shared" si="4"/>
        <v>0.10666666666666667</v>
      </c>
    </row>
    <row r="188" spans="1:5">
      <c r="A188" t="s">
        <v>8</v>
      </c>
      <c r="B188" t="s">
        <v>11</v>
      </c>
      <c r="C188" t="str">
        <f t="shared" si="5"/>
        <v>sf</v>
      </c>
      <c r="D188">
        <v>7.333333333333333</v>
      </c>
      <c r="E188">
        <f t="shared" si="4"/>
        <v>7.3333333333333334E-2</v>
      </c>
    </row>
    <row r="189" spans="1:5">
      <c r="A189" t="s">
        <v>8</v>
      </c>
      <c r="B189" t="s">
        <v>12</v>
      </c>
      <c r="C189" t="str">
        <f t="shared" si="5"/>
        <v>sT</v>
      </c>
      <c r="D189">
        <v>8.6666666666666679</v>
      </c>
      <c r="E189">
        <f t="shared" si="4"/>
        <v>8.6666666666666684E-2</v>
      </c>
    </row>
    <row r="190" spans="1:5">
      <c r="A190" t="s">
        <v>8</v>
      </c>
      <c r="B190" t="s">
        <v>13</v>
      </c>
      <c r="C190" t="str">
        <f t="shared" si="5"/>
        <v>sv</v>
      </c>
      <c r="D190">
        <v>0</v>
      </c>
      <c r="E190">
        <f t="shared" si="4"/>
        <v>0</v>
      </c>
    </row>
    <row r="191" spans="1:5">
      <c r="A191" t="s">
        <v>8</v>
      </c>
      <c r="B191" t="s">
        <v>14</v>
      </c>
      <c r="C191" t="str">
        <f t="shared" si="5"/>
        <v>sD</v>
      </c>
      <c r="D191">
        <v>4.666666666666667</v>
      </c>
      <c r="E191">
        <f t="shared" si="4"/>
        <v>4.6666666666666669E-2</v>
      </c>
    </row>
    <row r="192" spans="1:5">
      <c r="A192" t="s">
        <v>8</v>
      </c>
      <c r="B192" t="s">
        <v>15</v>
      </c>
      <c r="C192" t="str">
        <f t="shared" si="5"/>
        <v>sh</v>
      </c>
      <c r="D192">
        <v>0</v>
      </c>
      <c r="E192">
        <f t="shared" si="4"/>
        <v>0</v>
      </c>
    </row>
    <row r="193" spans="1:5">
      <c r="A193" t="s">
        <v>8</v>
      </c>
      <c r="B193" t="s">
        <v>16</v>
      </c>
      <c r="C193" t="str">
        <f t="shared" si="5"/>
        <v>sn</v>
      </c>
      <c r="D193">
        <v>0.66666666666666674</v>
      </c>
      <c r="E193">
        <f t="shared" si="4"/>
        <v>6.6666666666666671E-3</v>
      </c>
    </row>
    <row r="194" spans="1:5">
      <c r="A194" t="s">
        <v>8</v>
      </c>
      <c r="B194" t="s">
        <v>17</v>
      </c>
      <c r="C194" t="str">
        <f t="shared" si="5"/>
        <v>sm</v>
      </c>
      <c r="D194">
        <v>0.66666666666666674</v>
      </c>
      <c r="E194">
        <f t="shared" ref="E194:E257" si="6">D194/100</f>
        <v>6.6666666666666671E-3</v>
      </c>
    </row>
    <row r="195" spans="1:5">
      <c r="A195" t="s">
        <v>8</v>
      </c>
      <c r="B195" t="s">
        <v>18</v>
      </c>
      <c r="C195" t="str">
        <f t="shared" si="5"/>
        <v>sl</v>
      </c>
      <c r="D195">
        <v>0</v>
      </c>
      <c r="E195">
        <f t="shared" si="6"/>
        <v>0</v>
      </c>
    </row>
    <row r="196" spans="1:5">
      <c r="A196" t="s">
        <v>8</v>
      </c>
      <c r="B196" t="s">
        <v>19</v>
      </c>
      <c r="C196" t="str">
        <f t="shared" si="5"/>
        <v>sr</v>
      </c>
      <c r="D196">
        <v>0</v>
      </c>
      <c r="E196">
        <f t="shared" si="6"/>
        <v>0</v>
      </c>
    </row>
    <row r="197" spans="1:5">
      <c r="A197" t="s">
        <v>8</v>
      </c>
      <c r="B197" t="s">
        <v>20</v>
      </c>
      <c r="C197" t="str">
        <f t="shared" si="5"/>
        <v>sw</v>
      </c>
      <c r="D197">
        <v>0</v>
      </c>
      <c r="E197">
        <f t="shared" si="6"/>
        <v>0</v>
      </c>
    </row>
    <row r="198" spans="1:5">
      <c r="A198" t="s">
        <v>8</v>
      </c>
      <c r="B198" t="s">
        <v>21</v>
      </c>
      <c r="C198" t="str">
        <f t="shared" ref="C198:C261" si="7">CONCATENATE(A198, B198)</f>
        <v>sy</v>
      </c>
      <c r="D198">
        <v>0.66666666666666674</v>
      </c>
      <c r="E198">
        <f t="shared" si="6"/>
        <v>6.6666666666666671E-3</v>
      </c>
    </row>
    <row r="199" spans="1:5">
      <c r="A199" t="s">
        <v>9</v>
      </c>
      <c r="B199" t="s">
        <v>0</v>
      </c>
      <c r="C199" t="str">
        <f t="shared" si="7"/>
        <v>Sp</v>
      </c>
      <c r="D199">
        <v>0</v>
      </c>
      <c r="E199">
        <f t="shared" si="6"/>
        <v>0</v>
      </c>
    </row>
    <row r="200" spans="1:5">
      <c r="A200" t="s">
        <v>9</v>
      </c>
      <c r="B200" t="s">
        <v>1</v>
      </c>
      <c r="C200" t="str">
        <f t="shared" si="7"/>
        <v>St</v>
      </c>
      <c r="D200">
        <v>0.66666666666666674</v>
      </c>
      <c r="E200">
        <f t="shared" si="6"/>
        <v>6.6666666666666671E-3</v>
      </c>
    </row>
    <row r="201" spans="1:5">
      <c r="A201" t="s">
        <v>9</v>
      </c>
      <c r="B201" t="s">
        <v>2</v>
      </c>
      <c r="C201" t="str">
        <f t="shared" si="7"/>
        <v>Sk</v>
      </c>
      <c r="D201">
        <v>0.66666666666666674</v>
      </c>
      <c r="E201">
        <f t="shared" si="6"/>
        <v>6.6666666666666671E-3</v>
      </c>
    </row>
    <row r="202" spans="1:5">
      <c r="A202" t="s">
        <v>9</v>
      </c>
      <c r="B202" t="s">
        <v>3</v>
      </c>
      <c r="C202" t="str">
        <f t="shared" si="7"/>
        <v>Sb</v>
      </c>
      <c r="D202">
        <v>1.3333333333333335</v>
      </c>
      <c r="E202">
        <f t="shared" si="6"/>
        <v>1.3333333333333334E-2</v>
      </c>
    </row>
    <row r="203" spans="1:5">
      <c r="A203" t="s">
        <v>9</v>
      </c>
      <c r="B203" t="s">
        <v>4</v>
      </c>
      <c r="C203" t="str">
        <f t="shared" si="7"/>
        <v>Sd</v>
      </c>
      <c r="D203">
        <v>16</v>
      </c>
      <c r="E203">
        <f t="shared" si="6"/>
        <v>0.16</v>
      </c>
    </row>
    <row r="204" spans="1:5">
      <c r="A204" t="s">
        <v>9</v>
      </c>
      <c r="B204" t="s">
        <v>5</v>
      </c>
      <c r="C204" t="str">
        <f t="shared" si="7"/>
        <v>Sg</v>
      </c>
      <c r="D204">
        <v>10</v>
      </c>
      <c r="E204">
        <f t="shared" si="6"/>
        <v>0.1</v>
      </c>
    </row>
    <row r="205" spans="1:5">
      <c r="A205" t="s">
        <v>9</v>
      </c>
      <c r="B205" t="s">
        <v>6</v>
      </c>
      <c r="C205" t="str">
        <f t="shared" si="7"/>
        <v>SC</v>
      </c>
      <c r="D205">
        <v>0</v>
      </c>
      <c r="E205">
        <f t="shared" si="6"/>
        <v>0</v>
      </c>
    </row>
    <row r="206" spans="1:5">
      <c r="A206" t="s">
        <v>9</v>
      </c>
      <c r="B206" t="s">
        <v>7</v>
      </c>
      <c r="C206" t="str">
        <f t="shared" si="7"/>
        <v>SJ</v>
      </c>
      <c r="D206">
        <v>2.666666666666667</v>
      </c>
      <c r="E206">
        <f t="shared" si="6"/>
        <v>2.6666666666666668E-2</v>
      </c>
    </row>
    <row r="207" spans="1:5">
      <c r="A207" t="s">
        <v>9</v>
      </c>
      <c r="B207" t="s">
        <v>8</v>
      </c>
      <c r="C207" t="str">
        <f t="shared" si="7"/>
        <v>Ss</v>
      </c>
      <c r="D207">
        <v>6</v>
      </c>
      <c r="E207">
        <f t="shared" si="6"/>
        <v>0.06</v>
      </c>
    </row>
    <row r="208" spans="1:5">
      <c r="A208" t="s">
        <v>9</v>
      </c>
      <c r="B208" t="s">
        <v>9</v>
      </c>
      <c r="C208" t="str">
        <f t="shared" si="7"/>
        <v>SS</v>
      </c>
      <c r="D208">
        <v>0</v>
      </c>
      <c r="E208">
        <f t="shared" si="6"/>
        <v>0</v>
      </c>
    </row>
    <row r="209" spans="1:5">
      <c r="A209" t="s">
        <v>9</v>
      </c>
      <c r="B209" t="s">
        <v>10</v>
      </c>
      <c r="C209" t="str">
        <f t="shared" si="7"/>
        <v>Sz</v>
      </c>
      <c r="D209">
        <v>30</v>
      </c>
      <c r="E209">
        <f t="shared" si="6"/>
        <v>0.3</v>
      </c>
    </row>
    <row r="210" spans="1:5">
      <c r="A210" t="s">
        <v>9</v>
      </c>
      <c r="B210" t="s">
        <v>11</v>
      </c>
      <c r="C210" t="str">
        <f t="shared" si="7"/>
        <v>Sf</v>
      </c>
      <c r="D210">
        <v>0</v>
      </c>
      <c r="E210">
        <f t="shared" si="6"/>
        <v>0</v>
      </c>
    </row>
    <row r="211" spans="1:5">
      <c r="A211" t="s">
        <v>9</v>
      </c>
      <c r="B211" t="s">
        <v>12</v>
      </c>
      <c r="C211" t="str">
        <f t="shared" si="7"/>
        <v>ST</v>
      </c>
      <c r="D211">
        <v>8</v>
      </c>
      <c r="E211">
        <f t="shared" si="6"/>
        <v>0.08</v>
      </c>
    </row>
    <row r="212" spans="1:5">
      <c r="A212" t="s">
        <v>9</v>
      </c>
      <c r="B212" t="s">
        <v>13</v>
      </c>
      <c r="C212" t="str">
        <f t="shared" si="7"/>
        <v>Sv</v>
      </c>
      <c r="D212">
        <v>6</v>
      </c>
      <c r="E212">
        <f t="shared" si="6"/>
        <v>0.06</v>
      </c>
    </row>
    <row r="213" spans="1:5">
      <c r="A213" t="s">
        <v>9</v>
      </c>
      <c r="B213" t="s">
        <v>14</v>
      </c>
      <c r="C213" t="str">
        <f t="shared" si="7"/>
        <v>SD</v>
      </c>
      <c r="D213">
        <v>14</v>
      </c>
      <c r="E213">
        <f t="shared" si="6"/>
        <v>0.14000000000000001</v>
      </c>
    </row>
    <row r="214" spans="1:5">
      <c r="A214" t="s">
        <v>9</v>
      </c>
      <c r="B214" t="s">
        <v>15</v>
      </c>
      <c r="C214" t="str">
        <f t="shared" si="7"/>
        <v>Sh</v>
      </c>
      <c r="D214">
        <v>0</v>
      </c>
      <c r="E214">
        <f t="shared" si="6"/>
        <v>0</v>
      </c>
    </row>
    <row r="215" spans="1:5">
      <c r="A215" t="s">
        <v>9</v>
      </c>
      <c r="B215" t="s">
        <v>16</v>
      </c>
      <c r="C215" t="str">
        <f t="shared" si="7"/>
        <v>Sn</v>
      </c>
      <c r="D215">
        <v>0</v>
      </c>
      <c r="E215">
        <f t="shared" si="6"/>
        <v>0</v>
      </c>
    </row>
    <row r="216" spans="1:5">
      <c r="A216" t="s">
        <v>9</v>
      </c>
      <c r="B216" t="s">
        <v>17</v>
      </c>
      <c r="C216" t="str">
        <f t="shared" si="7"/>
        <v>Sm</v>
      </c>
      <c r="D216">
        <v>0</v>
      </c>
      <c r="E216">
        <f t="shared" si="6"/>
        <v>0</v>
      </c>
    </row>
    <row r="217" spans="1:5">
      <c r="A217" t="s">
        <v>9</v>
      </c>
      <c r="B217" t="s">
        <v>18</v>
      </c>
      <c r="C217" t="str">
        <f t="shared" si="7"/>
        <v>Sl</v>
      </c>
      <c r="D217">
        <v>0.66666666666666674</v>
      </c>
      <c r="E217">
        <f t="shared" si="6"/>
        <v>6.6666666666666671E-3</v>
      </c>
    </row>
    <row r="218" spans="1:5">
      <c r="A218" t="s">
        <v>9</v>
      </c>
      <c r="B218" t="s">
        <v>19</v>
      </c>
      <c r="C218" t="str">
        <f t="shared" si="7"/>
        <v>Sr</v>
      </c>
      <c r="D218">
        <v>2</v>
      </c>
      <c r="E218">
        <f t="shared" si="6"/>
        <v>0.02</v>
      </c>
    </row>
    <row r="219" spans="1:5">
      <c r="A219" t="s">
        <v>9</v>
      </c>
      <c r="B219" t="s">
        <v>20</v>
      </c>
      <c r="C219" t="str">
        <f t="shared" si="7"/>
        <v>Sw</v>
      </c>
      <c r="D219">
        <v>0.66666666666666674</v>
      </c>
      <c r="E219">
        <f t="shared" si="6"/>
        <v>6.6666666666666671E-3</v>
      </c>
    </row>
    <row r="220" spans="1:5">
      <c r="A220" t="s">
        <v>9</v>
      </c>
      <c r="B220" t="s">
        <v>21</v>
      </c>
      <c r="C220" t="str">
        <f t="shared" si="7"/>
        <v>Sy</v>
      </c>
      <c r="D220">
        <v>1.3333333333333335</v>
      </c>
      <c r="E220">
        <f t="shared" si="6"/>
        <v>1.3333333333333334E-2</v>
      </c>
    </row>
    <row r="221" spans="1:5">
      <c r="A221" t="s">
        <v>10</v>
      </c>
      <c r="B221" t="s">
        <v>0</v>
      </c>
      <c r="C221" t="str">
        <f t="shared" si="7"/>
        <v>zp</v>
      </c>
      <c r="D221">
        <v>9.3333333333333339</v>
      </c>
      <c r="E221">
        <f t="shared" si="6"/>
        <v>9.3333333333333338E-2</v>
      </c>
    </row>
    <row r="222" spans="1:5">
      <c r="A222" t="s">
        <v>10</v>
      </c>
      <c r="B222" t="s">
        <v>1</v>
      </c>
      <c r="C222" t="str">
        <f t="shared" si="7"/>
        <v>zt</v>
      </c>
      <c r="D222">
        <v>10.666666666666668</v>
      </c>
      <c r="E222">
        <f t="shared" si="6"/>
        <v>0.10666666666666667</v>
      </c>
    </row>
    <row r="223" spans="1:5">
      <c r="A223" t="s">
        <v>10</v>
      </c>
      <c r="B223" t="s">
        <v>2</v>
      </c>
      <c r="C223" t="str">
        <f t="shared" si="7"/>
        <v>zk</v>
      </c>
      <c r="D223">
        <v>6</v>
      </c>
      <c r="E223">
        <f t="shared" si="6"/>
        <v>0.06</v>
      </c>
    </row>
    <row r="224" spans="1:5">
      <c r="A224" t="s">
        <v>10</v>
      </c>
      <c r="B224" t="s">
        <v>3</v>
      </c>
      <c r="C224" t="str">
        <f t="shared" si="7"/>
        <v>zb</v>
      </c>
      <c r="D224">
        <v>8</v>
      </c>
      <c r="E224">
        <f t="shared" si="6"/>
        <v>0.08</v>
      </c>
    </row>
    <row r="225" spans="1:5">
      <c r="A225" t="s">
        <v>10</v>
      </c>
      <c r="B225" t="s">
        <v>4</v>
      </c>
      <c r="C225" t="str">
        <f t="shared" si="7"/>
        <v>zd</v>
      </c>
      <c r="D225">
        <v>1.3333333333333335</v>
      </c>
      <c r="E225">
        <f t="shared" si="6"/>
        <v>1.3333333333333334E-2</v>
      </c>
    </row>
    <row r="226" spans="1:5">
      <c r="A226" t="s">
        <v>10</v>
      </c>
      <c r="B226" t="s">
        <v>5</v>
      </c>
      <c r="C226" t="str">
        <f t="shared" si="7"/>
        <v>zg</v>
      </c>
      <c r="D226">
        <v>0.66666666666666674</v>
      </c>
      <c r="E226">
        <f t="shared" si="6"/>
        <v>6.6666666666666671E-3</v>
      </c>
    </row>
    <row r="227" spans="1:5">
      <c r="A227" t="s">
        <v>10</v>
      </c>
      <c r="B227" t="s">
        <v>6</v>
      </c>
      <c r="C227" t="str">
        <f t="shared" si="7"/>
        <v>zC</v>
      </c>
      <c r="D227">
        <v>3.3333333333333335</v>
      </c>
      <c r="E227">
        <f t="shared" si="6"/>
        <v>3.3333333333333333E-2</v>
      </c>
    </row>
    <row r="228" spans="1:5">
      <c r="A228" t="s">
        <v>10</v>
      </c>
      <c r="B228" t="s">
        <v>7</v>
      </c>
      <c r="C228" t="str">
        <f t="shared" si="7"/>
        <v>zJ</v>
      </c>
      <c r="D228">
        <v>0</v>
      </c>
      <c r="E228">
        <f t="shared" si="6"/>
        <v>0</v>
      </c>
    </row>
    <row r="229" spans="1:5">
      <c r="A229" t="s">
        <v>10</v>
      </c>
      <c r="B229" t="s">
        <v>8</v>
      </c>
      <c r="C229" t="str">
        <f t="shared" si="7"/>
        <v>zs</v>
      </c>
      <c r="D229">
        <v>7.333333333333333</v>
      </c>
      <c r="E229">
        <f t="shared" si="6"/>
        <v>7.3333333333333334E-2</v>
      </c>
    </row>
    <row r="230" spans="1:5">
      <c r="A230" t="s">
        <v>10</v>
      </c>
      <c r="B230" t="s">
        <v>9</v>
      </c>
      <c r="C230" t="str">
        <f t="shared" si="7"/>
        <v>zS</v>
      </c>
      <c r="D230">
        <v>0</v>
      </c>
      <c r="E230">
        <f t="shared" si="6"/>
        <v>0</v>
      </c>
    </row>
    <row r="231" spans="1:5">
      <c r="A231" t="s">
        <v>10</v>
      </c>
      <c r="B231" t="s">
        <v>10</v>
      </c>
      <c r="C231" t="str">
        <f t="shared" si="7"/>
        <v>zz</v>
      </c>
      <c r="D231">
        <v>2.666666666666667</v>
      </c>
      <c r="E231">
        <f t="shared" si="6"/>
        <v>2.6666666666666668E-2</v>
      </c>
    </row>
    <row r="232" spans="1:5">
      <c r="A232" t="s">
        <v>10</v>
      </c>
      <c r="B232" t="s">
        <v>11</v>
      </c>
      <c r="C232" t="str">
        <f t="shared" si="7"/>
        <v>zf</v>
      </c>
      <c r="D232">
        <v>36</v>
      </c>
      <c r="E232">
        <f t="shared" si="6"/>
        <v>0.36</v>
      </c>
    </row>
    <row r="233" spans="1:5">
      <c r="A233" t="s">
        <v>10</v>
      </c>
      <c r="B233" t="s">
        <v>12</v>
      </c>
      <c r="C233" t="str">
        <f t="shared" si="7"/>
        <v>zT</v>
      </c>
      <c r="D233">
        <v>6</v>
      </c>
      <c r="E233">
        <f t="shared" si="6"/>
        <v>0.06</v>
      </c>
    </row>
    <row r="234" spans="1:5">
      <c r="A234" t="s">
        <v>10</v>
      </c>
      <c r="B234" t="s">
        <v>13</v>
      </c>
      <c r="C234" t="str">
        <f t="shared" si="7"/>
        <v>zv</v>
      </c>
      <c r="D234">
        <v>2</v>
      </c>
      <c r="E234">
        <f t="shared" si="6"/>
        <v>0.02</v>
      </c>
    </row>
    <row r="235" spans="1:5">
      <c r="A235" t="s">
        <v>10</v>
      </c>
      <c r="B235" t="s">
        <v>14</v>
      </c>
      <c r="C235" t="str">
        <f t="shared" si="7"/>
        <v>zD</v>
      </c>
      <c r="D235">
        <v>4</v>
      </c>
      <c r="E235">
        <f t="shared" si="6"/>
        <v>0.04</v>
      </c>
    </row>
    <row r="236" spans="1:5">
      <c r="A236" t="s">
        <v>10</v>
      </c>
      <c r="B236" t="s">
        <v>15</v>
      </c>
      <c r="C236" t="str">
        <f t="shared" si="7"/>
        <v>zh</v>
      </c>
      <c r="D236">
        <v>0.66666666666666674</v>
      </c>
      <c r="E236">
        <f t="shared" si="6"/>
        <v>6.6666666666666671E-3</v>
      </c>
    </row>
    <row r="237" spans="1:5">
      <c r="A237" t="s">
        <v>10</v>
      </c>
      <c r="B237" t="s">
        <v>16</v>
      </c>
      <c r="C237" t="str">
        <f t="shared" si="7"/>
        <v>zn</v>
      </c>
      <c r="D237">
        <v>0</v>
      </c>
      <c r="E237">
        <f t="shared" si="6"/>
        <v>0</v>
      </c>
    </row>
    <row r="238" spans="1:5">
      <c r="A238" t="s">
        <v>10</v>
      </c>
      <c r="B238" t="s">
        <v>17</v>
      </c>
      <c r="C238" t="str">
        <f t="shared" si="7"/>
        <v>zm</v>
      </c>
      <c r="D238">
        <v>0.66666666666666674</v>
      </c>
      <c r="E238">
        <f t="shared" si="6"/>
        <v>6.6666666666666671E-3</v>
      </c>
    </row>
    <row r="239" spans="1:5">
      <c r="A239" t="s">
        <v>10</v>
      </c>
      <c r="B239" t="s">
        <v>18</v>
      </c>
      <c r="C239" t="str">
        <f t="shared" si="7"/>
        <v>zl</v>
      </c>
      <c r="D239">
        <v>0.66666666666666674</v>
      </c>
      <c r="E239">
        <f t="shared" si="6"/>
        <v>6.6666666666666671E-3</v>
      </c>
    </row>
    <row r="240" spans="1:5">
      <c r="A240" t="s">
        <v>10</v>
      </c>
      <c r="B240" t="s">
        <v>19</v>
      </c>
      <c r="C240" t="str">
        <f t="shared" si="7"/>
        <v>zr</v>
      </c>
      <c r="D240">
        <v>0</v>
      </c>
      <c r="E240">
        <f t="shared" si="6"/>
        <v>0</v>
      </c>
    </row>
    <row r="241" spans="1:5">
      <c r="A241" t="s">
        <v>10</v>
      </c>
      <c r="B241" t="s">
        <v>20</v>
      </c>
      <c r="C241" t="str">
        <f t="shared" si="7"/>
        <v>zw</v>
      </c>
      <c r="D241">
        <v>0</v>
      </c>
      <c r="E241">
        <f t="shared" si="6"/>
        <v>0</v>
      </c>
    </row>
    <row r="242" spans="1:5">
      <c r="A242" t="s">
        <v>10</v>
      </c>
      <c r="B242" t="s">
        <v>21</v>
      </c>
      <c r="C242" t="str">
        <f t="shared" si="7"/>
        <v>zy</v>
      </c>
      <c r="D242">
        <v>0</v>
      </c>
      <c r="E242">
        <f t="shared" si="6"/>
        <v>0</v>
      </c>
    </row>
    <row r="243" spans="1:5">
      <c r="A243" t="s">
        <v>11</v>
      </c>
      <c r="B243" t="s">
        <v>0</v>
      </c>
      <c r="C243" t="str">
        <f t="shared" si="7"/>
        <v>fp</v>
      </c>
      <c r="D243">
        <v>7.333333333333333</v>
      </c>
      <c r="E243">
        <f t="shared" si="6"/>
        <v>7.3333333333333334E-2</v>
      </c>
    </row>
    <row r="244" spans="1:5">
      <c r="A244" t="s">
        <v>11</v>
      </c>
      <c r="B244" t="s">
        <v>1</v>
      </c>
      <c r="C244" t="str">
        <f t="shared" si="7"/>
        <v>ft</v>
      </c>
      <c r="D244">
        <v>12</v>
      </c>
      <c r="E244">
        <f t="shared" si="6"/>
        <v>0.12</v>
      </c>
    </row>
    <row r="245" spans="1:5">
      <c r="A245" t="s">
        <v>11</v>
      </c>
      <c r="B245" t="s">
        <v>2</v>
      </c>
      <c r="C245" t="str">
        <f t="shared" si="7"/>
        <v>fk</v>
      </c>
      <c r="D245">
        <v>4.666666666666667</v>
      </c>
      <c r="E245">
        <f t="shared" si="6"/>
        <v>4.6666666666666669E-2</v>
      </c>
    </row>
    <row r="246" spans="1:5">
      <c r="A246" t="s">
        <v>11</v>
      </c>
      <c r="B246" t="s">
        <v>3</v>
      </c>
      <c r="C246" t="str">
        <f t="shared" si="7"/>
        <v>fb</v>
      </c>
      <c r="D246">
        <v>7.333333333333333</v>
      </c>
      <c r="E246">
        <f t="shared" si="6"/>
        <v>7.3333333333333334E-2</v>
      </c>
    </row>
    <row r="247" spans="1:5">
      <c r="A247" t="s">
        <v>11</v>
      </c>
      <c r="B247" t="s">
        <v>4</v>
      </c>
      <c r="C247" t="str">
        <f t="shared" si="7"/>
        <v>fd</v>
      </c>
      <c r="D247">
        <v>4</v>
      </c>
      <c r="E247">
        <f t="shared" si="6"/>
        <v>0.04</v>
      </c>
    </row>
    <row r="248" spans="1:5">
      <c r="A248" t="s">
        <v>11</v>
      </c>
      <c r="B248" t="s">
        <v>5</v>
      </c>
      <c r="C248" t="str">
        <f t="shared" si="7"/>
        <v>fg</v>
      </c>
      <c r="D248">
        <v>3.3333333333333335</v>
      </c>
      <c r="E248">
        <f t="shared" si="6"/>
        <v>3.3333333333333333E-2</v>
      </c>
    </row>
    <row r="249" spans="1:5">
      <c r="A249" t="s">
        <v>11</v>
      </c>
      <c r="B249" t="s">
        <v>6</v>
      </c>
      <c r="C249" t="str">
        <f t="shared" si="7"/>
        <v>fC</v>
      </c>
      <c r="D249">
        <v>1.3333333333333335</v>
      </c>
      <c r="E249">
        <f t="shared" si="6"/>
        <v>1.3333333333333334E-2</v>
      </c>
    </row>
    <row r="250" spans="1:5">
      <c r="A250" t="s">
        <v>11</v>
      </c>
      <c r="B250" t="s">
        <v>7</v>
      </c>
      <c r="C250" t="str">
        <f t="shared" si="7"/>
        <v>fJ</v>
      </c>
      <c r="D250">
        <v>0</v>
      </c>
      <c r="E250">
        <f t="shared" si="6"/>
        <v>0</v>
      </c>
    </row>
    <row r="251" spans="1:5">
      <c r="A251" t="s">
        <v>11</v>
      </c>
      <c r="B251" t="s">
        <v>8</v>
      </c>
      <c r="C251" t="str">
        <f t="shared" si="7"/>
        <v>fs</v>
      </c>
      <c r="D251">
        <v>8</v>
      </c>
      <c r="E251">
        <f t="shared" si="6"/>
        <v>0.08</v>
      </c>
    </row>
    <row r="252" spans="1:5">
      <c r="A252" t="s">
        <v>11</v>
      </c>
      <c r="B252" t="s">
        <v>9</v>
      </c>
      <c r="C252" t="str">
        <f t="shared" si="7"/>
        <v>fS</v>
      </c>
      <c r="D252">
        <v>0</v>
      </c>
      <c r="E252">
        <f t="shared" si="6"/>
        <v>0</v>
      </c>
    </row>
    <row r="253" spans="1:5">
      <c r="A253" t="s">
        <v>11</v>
      </c>
      <c r="B253" t="s">
        <v>10</v>
      </c>
      <c r="C253" t="str">
        <f t="shared" si="7"/>
        <v>fz</v>
      </c>
      <c r="D253">
        <v>1.3333333333333335</v>
      </c>
      <c r="E253">
        <f t="shared" si="6"/>
        <v>1.3333333333333334E-2</v>
      </c>
    </row>
    <row r="254" spans="1:5">
      <c r="A254" t="s">
        <v>11</v>
      </c>
      <c r="B254" t="s">
        <v>11</v>
      </c>
      <c r="C254" t="str">
        <f t="shared" si="7"/>
        <v>ff</v>
      </c>
      <c r="D254">
        <v>24</v>
      </c>
      <c r="E254">
        <f t="shared" si="6"/>
        <v>0.24</v>
      </c>
    </row>
    <row r="255" spans="1:5">
      <c r="A255" t="s">
        <v>11</v>
      </c>
      <c r="B255" t="s">
        <v>12</v>
      </c>
      <c r="C255" t="str">
        <f t="shared" si="7"/>
        <v>fT</v>
      </c>
      <c r="D255">
        <v>13.333333333333334</v>
      </c>
      <c r="E255">
        <f t="shared" si="6"/>
        <v>0.13333333333333333</v>
      </c>
    </row>
    <row r="256" spans="1:5">
      <c r="A256" t="s">
        <v>11</v>
      </c>
      <c r="B256" t="s">
        <v>13</v>
      </c>
      <c r="C256" t="str">
        <f t="shared" si="7"/>
        <v>fv</v>
      </c>
      <c r="D256">
        <v>2.666666666666667</v>
      </c>
      <c r="E256">
        <f t="shared" si="6"/>
        <v>2.6666666666666668E-2</v>
      </c>
    </row>
    <row r="257" spans="1:5">
      <c r="A257" t="s">
        <v>11</v>
      </c>
      <c r="B257" t="s">
        <v>14</v>
      </c>
      <c r="C257" t="str">
        <f t="shared" si="7"/>
        <v>fD</v>
      </c>
      <c r="D257">
        <v>6.666666666666667</v>
      </c>
      <c r="E257">
        <f t="shared" si="6"/>
        <v>6.6666666666666666E-2</v>
      </c>
    </row>
    <row r="258" spans="1:5">
      <c r="A258" t="s">
        <v>11</v>
      </c>
      <c r="B258" t="s">
        <v>15</v>
      </c>
      <c r="C258" t="str">
        <f t="shared" si="7"/>
        <v>fh</v>
      </c>
      <c r="D258">
        <v>2</v>
      </c>
      <c r="E258">
        <f t="shared" ref="E258:E321" si="8">D258/100</f>
        <v>0.02</v>
      </c>
    </row>
    <row r="259" spans="1:5">
      <c r="A259" t="s">
        <v>11</v>
      </c>
      <c r="B259" t="s">
        <v>16</v>
      </c>
      <c r="C259" t="str">
        <f t="shared" si="7"/>
        <v>fn</v>
      </c>
      <c r="D259">
        <v>0</v>
      </c>
      <c r="E259">
        <f t="shared" si="8"/>
        <v>0</v>
      </c>
    </row>
    <row r="260" spans="1:5">
      <c r="A260" t="s">
        <v>11</v>
      </c>
      <c r="B260" t="s">
        <v>17</v>
      </c>
      <c r="C260" t="str">
        <f t="shared" si="7"/>
        <v>fm</v>
      </c>
      <c r="D260">
        <v>0.66666666666666674</v>
      </c>
      <c r="E260">
        <f t="shared" si="8"/>
        <v>6.6666666666666671E-3</v>
      </c>
    </row>
    <row r="261" spans="1:5">
      <c r="A261" t="s">
        <v>11</v>
      </c>
      <c r="B261" t="s">
        <v>18</v>
      </c>
      <c r="C261" t="str">
        <f t="shared" si="7"/>
        <v>fl</v>
      </c>
      <c r="D261">
        <v>0</v>
      </c>
      <c r="E261">
        <f t="shared" si="8"/>
        <v>0</v>
      </c>
    </row>
    <row r="262" spans="1:5">
      <c r="A262" t="s">
        <v>11</v>
      </c>
      <c r="B262" t="s">
        <v>19</v>
      </c>
      <c r="C262" t="str">
        <f t="shared" ref="C262:C325" si="9">CONCATENATE(A262, B262)</f>
        <v>fr</v>
      </c>
      <c r="D262">
        <v>0</v>
      </c>
      <c r="E262">
        <f t="shared" si="8"/>
        <v>0</v>
      </c>
    </row>
    <row r="263" spans="1:5">
      <c r="A263" t="s">
        <v>11</v>
      </c>
      <c r="B263" t="s">
        <v>20</v>
      </c>
      <c r="C263" t="str">
        <f t="shared" si="9"/>
        <v>fw</v>
      </c>
      <c r="D263">
        <v>0</v>
      </c>
      <c r="E263">
        <f t="shared" si="8"/>
        <v>0</v>
      </c>
    </row>
    <row r="264" spans="1:5">
      <c r="A264" t="s">
        <v>11</v>
      </c>
      <c r="B264" t="s">
        <v>21</v>
      </c>
      <c r="C264" t="str">
        <f t="shared" si="9"/>
        <v>fy</v>
      </c>
      <c r="D264">
        <v>0</v>
      </c>
      <c r="E264">
        <f t="shared" si="8"/>
        <v>0</v>
      </c>
    </row>
    <row r="265" spans="1:5">
      <c r="A265" t="s">
        <v>12</v>
      </c>
      <c r="B265" t="s">
        <v>0</v>
      </c>
      <c r="C265" t="str">
        <f t="shared" si="9"/>
        <v>Tp</v>
      </c>
      <c r="D265">
        <v>0.66666666666666674</v>
      </c>
      <c r="E265">
        <f t="shared" si="8"/>
        <v>6.6666666666666671E-3</v>
      </c>
    </row>
    <row r="266" spans="1:5">
      <c r="A266" t="s">
        <v>12</v>
      </c>
      <c r="B266" t="s">
        <v>1</v>
      </c>
      <c r="C266" t="str">
        <f t="shared" si="9"/>
        <v>Tt</v>
      </c>
      <c r="D266">
        <v>1.3333333333333335</v>
      </c>
      <c r="E266">
        <f t="shared" si="8"/>
        <v>1.3333333333333334E-2</v>
      </c>
    </row>
    <row r="267" spans="1:5">
      <c r="A267" t="s">
        <v>12</v>
      </c>
      <c r="B267" t="s">
        <v>2</v>
      </c>
      <c r="C267" t="str">
        <f t="shared" si="9"/>
        <v>Tk</v>
      </c>
      <c r="D267">
        <v>0.66666666666666674</v>
      </c>
      <c r="E267">
        <f t="shared" si="8"/>
        <v>6.6666666666666671E-3</v>
      </c>
    </row>
    <row r="268" spans="1:5">
      <c r="A268" t="s">
        <v>12</v>
      </c>
      <c r="B268" t="s">
        <v>3</v>
      </c>
      <c r="C268" t="str">
        <f t="shared" si="9"/>
        <v>Tb</v>
      </c>
      <c r="D268">
        <v>11.333333333333332</v>
      </c>
      <c r="E268">
        <f t="shared" si="8"/>
        <v>0.11333333333333333</v>
      </c>
    </row>
    <row r="269" spans="1:5">
      <c r="A269" t="s">
        <v>12</v>
      </c>
      <c r="B269" t="s">
        <v>4</v>
      </c>
      <c r="C269" t="str">
        <f t="shared" si="9"/>
        <v>Td</v>
      </c>
      <c r="D269">
        <v>10</v>
      </c>
      <c r="E269">
        <f t="shared" si="8"/>
        <v>0.1</v>
      </c>
    </row>
    <row r="270" spans="1:5">
      <c r="A270" t="s">
        <v>12</v>
      </c>
      <c r="B270" t="s">
        <v>5</v>
      </c>
      <c r="C270" t="str">
        <f t="shared" si="9"/>
        <v>Tg</v>
      </c>
      <c r="D270">
        <v>4.666666666666667</v>
      </c>
      <c r="E270">
        <f t="shared" si="8"/>
        <v>4.6666666666666669E-2</v>
      </c>
    </row>
    <row r="271" spans="1:5">
      <c r="A271" t="s">
        <v>12</v>
      </c>
      <c r="B271" t="s">
        <v>6</v>
      </c>
      <c r="C271" t="str">
        <f t="shared" si="9"/>
        <v>TC</v>
      </c>
      <c r="D271">
        <v>0</v>
      </c>
      <c r="E271">
        <f t="shared" si="8"/>
        <v>0</v>
      </c>
    </row>
    <row r="272" spans="1:5">
      <c r="A272" t="s">
        <v>12</v>
      </c>
      <c r="B272" t="s">
        <v>7</v>
      </c>
      <c r="C272" t="str">
        <f t="shared" si="9"/>
        <v>TJ</v>
      </c>
      <c r="D272">
        <v>0</v>
      </c>
      <c r="E272">
        <f t="shared" si="8"/>
        <v>0</v>
      </c>
    </row>
    <row r="273" spans="1:5">
      <c r="A273" t="s">
        <v>12</v>
      </c>
      <c r="B273" t="s">
        <v>8</v>
      </c>
      <c r="C273" t="str">
        <f t="shared" si="9"/>
        <v>Ts</v>
      </c>
      <c r="D273">
        <v>0</v>
      </c>
      <c r="E273">
        <f t="shared" si="8"/>
        <v>0</v>
      </c>
    </row>
    <row r="274" spans="1:5">
      <c r="A274" t="s">
        <v>12</v>
      </c>
      <c r="B274" t="s">
        <v>9</v>
      </c>
      <c r="C274" t="str">
        <f t="shared" si="9"/>
        <v>TS</v>
      </c>
      <c r="D274">
        <v>0.66666666666666674</v>
      </c>
      <c r="E274">
        <f t="shared" si="8"/>
        <v>6.6666666666666671E-3</v>
      </c>
    </row>
    <row r="275" spans="1:5">
      <c r="A275" t="s">
        <v>12</v>
      </c>
      <c r="B275" t="s">
        <v>10</v>
      </c>
      <c r="C275" t="str">
        <f t="shared" si="9"/>
        <v>Tz</v>
      </c>
      <c r="D275">
        <v>2</v>
      </c>
      <c r="E275">
        <f t="shared" si="8"/>
        <v>0.02</v>
      </c>
    </row>
    <row r="276" spans="1:5">
      <c r="A276" t="s">
        <v>12</v>
      </c>
      <c r="B276" t="s">
        <v>11</v>
      </c>
      <c r="C276" t="str">
        <f t="shared" si="9"/>
        <v>Tf</v>
      </c>
      <c r="D276">
        <v>2.666666666666667</v>
      </c>
      <c r="E276">
        <f t="shared" si="8"/>
        <v>2.6666666666666668E-2</v>
      </c>
    </row>
    <row r="277" spans="1:5">
      <c r="A277" t="s">
        <v>12</v>
      </c>
      <c r="B277" t="s">
        <v>12</v>
      </c>
      <c r="C277" t="str">
        <f t="shared" si="9"/>
        <v>TT</v>
      </c>
      <c r="D277">
        <v>11.333333333333332</v>
      </c>
      <c r="E277">
        <f t="shared" si="8"/>
        <v>0.11333333333333333</v>
      </c>
    </row>
    <row r="278" spans="1:5">
      <c r="A278" t="s">
        <v>12</v>
      </c>
      <c r="B278" t="s">
        <v>13</v>
      </c>
      <c r="C278" t="str">
        <f t="shared" si="9"/>
        <v>Tv</v>
      </c>
      <c r="D278">
        <v>22.666666666666664</v>
      </c>
      <c r="E278">
        <f t="shared" si="8"/>
        <v>0.22666666666666666</v>
      </c>
    </row>
    <row r="279" spans="1:5">
      <c r="A279" t="s">
        <v>12</v>
      </c>
      <c r="B279" t="s">
        <v>14</v>
      </c>
      <c r="C279" t="str">
        <f t="shared" si="9"/>
        <v>TD</v>
      </c>
      <c r="D279">
        <v>20.666666666666668</v>
      </c>
      <c r="E279">
        <f t="shared" si="8"/>
        <v>0.20666666666666667</v>
      </c>
    </row>
    <row r="280" spans="1:5">
      <c r="A280" t="s">
        <v>12</v>
      </c>
      <c r="B280" t="s">
        <v>15</v>
      </c>
      <c r="C280" t="str">
        <f t="shared" si="9"/>
        <v>Th</v>
      </c>
      <c r="D280">
        <v>0</v>
      </c>
      <c r="E280">
        <f t="shared" si="8"/>
        <v>0</v>
      </c>
    </row>
    <row r="281" spans="1:5">
      <c r="A281" t="s">
        <v>12</v>
      </c>
      <c r="B281" t="s">
        <v>16</v>
      </c>
      <c r="C281" t="str">
        <f t="shared" si="9"/>
        <v>Tn</v>
      </c>
      <c r="D281">
        <v>0.66666666666666674</v>
      </c>
      <c r="E281">
        <f t="shared" si="8"/>
        <v>6.6666666666666671E-3</v>
      </c>
    </row>
    <row r="282" spans="1:5">
      <c r="A282" t="s">
        <v>12</v>
      </c>
      <c r="B282" t="s">
        <v>17</v>
      </c>
      <c r="C282" t="str">
        <f t="shared" si="9"/>
        <v>Tm</v>
      </c>
      <c r="D282">
        <v>0.66666666666666674</v>
      </c>
      <c r="E282">
        <f t="shared" si="8"/>
        <v>6.6666666666666671E-3</v>
      </c>
    </row>
    <row r="283" spans="1:5">
      <c r="A283" t="s">
        <v>12</v>
      </c>
      <c r="B283" t="s">
        <v>18</v>
      </c>
      <c r="C283" t="str">
        <f t="shared" si="9"/>
        <v>Tl</v>
      </c>
      <c r="D283">
        <v>6</v>
      </c>
      <c r="E283">
        <f t="shared" si="8"/>
        <v>0.06</v>
      </c>
    </row>
    <row r="284" spans="1:5">
      <c r="A284" t="s">
        <v>12</v>
      </c>
      <c r="B284" t="s">
        <v>19</v>
      </c>
      <c r="C284" t="str">
        <f t="shared" si="9"/>
        <v>Tr</v>
      </c>
      <c r="D284">
        <v>1.3333333333333335</v>
      </c>
      <c r="E284">
        <f t="shared" si="8"/>
        <v>1.3333333333333334E-2</v>
      </c>
    </row>
    <row r="285" spans="1:5">
      <c r="A285" t="s">
        <v>12</v>
      </c>
      <c r="B285" t="s">
        <v>20</v>
      </c>
      <c r="C285" t="str">
        <f t="shared" si="9"/>
        <v>Tw</v>
      </c>
      <c r="D285">
        <v>1.3333333333333335</v>
      </c>
      <c r="E285">
        <f t="shared" si="8"/>
        <v>1.3333333333333334E-2</v>
      </c>
    </row>
    <row r="286" spans="1:5">
      <c r="A286" t="s">
        <v>12</v>
      </c>
      <c r="B286" t="s">
        <v>21</v>
      </c>
      <c r="C286" t="str">
        <f t="shared" si="9"/>
        <v>Ty</v>
      </c>
      <c r="D286">
        <v>0</v>
      </c>
      <c r="E286">
        <f t="shared" si="8"/>
        <v>0</v>
      </c>
    </row>
    <row r="287" spans="1:5">
      <c r="A287" t="s">
        <v>13</v>
      </c>
      <c r="B287" t="s">
        <v>0</v>
      </c>
      <c r="C287" t="str">
        <f t="shared" si="9"/>
        <v>vp</v>
      </c>
      <c r="D287">
        <v>2.666666666666667</v>
      </c>
      <c r="E287">
        <f t="shared" si="8"/>
        <v>2.6666666666666668E-2</v>
      </c>
    </row>
    <row r="288" spans="1:5">
      <c r="A288" t="s">
        <v>13</v>
      </c>
      <c r="B288" t="s">
        <v>1</v>
      </c>
      <c r="C288" t="str">
        <f t="shared" si="9"/>
        <v>vt</v>
      </c>
      <c r="D288">
        <v>1.3333333333333335</v>
      </c>
      <c r="E288">
        <f t="shared" si="8"/>
        <v>1.3333333333333334E-2</v>
      </c>
    </row>
    <row r="289" spans="1:5">
      <c r="A289" t="s">
        <v>13</v>
      </c>
      <c r="B289" t="s">
        <v>2</v>
      </c>
      <c r="C289" t="str">
        <f t="shared" si="9"/>
        <v>vk</v>
      </c>
      <c r="D289">
        <v>1.3333333333333335</v>
      </c>
      <c r="E289">
        <f t="shared" si="8"/>
        <v>1.3333333333333334E-2</v>
      </c>
    </row>
    <row r="290" spans="1:5">
      <c r="A290" t="s">
        <v>13</v>
      </c>
      <c r="B290" t="s">
        <v>3</v>
      </c>
      <c r="C290" t="str">
        <f t="shared" si="9"/>
        <v>vb</v>
      </c>
      <c r="D290">
        <v>4</v>
      </c>
      <c r="E290">
        <f t="shared" si="8"/>
        <v>0.04</v>
      </c>
    </row>
    <row r="291" spans="1:5">
      <c r="A291" t="s">
        <v>13</v>
      </c>
      <c r="B291" t="s">
        <v>4</v>
      </c>
      <c r="C291" t="str">
        <f t="shared" si="9"/>
        <v>vd</v>
      </c>
      <c r="D291">
        <v>8</v>
      </c>
      <c r="E291">
        <f t="shared" si="8"/>
        <v>0.08</v>
      </c>
    </row>
    <row r="292" spans="1:5">
      <c r="A292" t="s">
        <v>13</v>
      </c>
      <c r="B292" t="s">
        <v>5</v>
      </c>
      <c r="C292" t="str">
        <f t="shared" si="9"/>
        <v>vg</v>
      </c>
      <c r="D292">
        <v>4.666666666666667</v>
      </c>
      <c r="E292">
        <f t="shared" si="8"/>
        <v>4.6666666666666669E-2</v>
      </c>
    </row>
    <row r="293" spans="1:5">
      <c r="A293" t="s">
        <v>13</v>
      </c>
      <c r="B293" t="s">
        <v>6</v>
      </c>
      <c r="C293" t="str">
        <f t="shared" si="9"/>
        <v>vC</v>
      </c>
      <c r="D293">
        <v>2</v>
      </c>
      <c r="E293">
        <f t="shared" si="8"/>
        <v>0.02</v>
      </c>
    </row>
    <row r="294" spans="1:5">
      <c r="A294" t="s">
        <v>13</v>
      </c>
      <c r="B294" t="s">
        <v>7</v>
      </c>
      <c r="C294" t="str">
        <f t="shared" si="9"/>
        <v>vJ</v>
      </c>
      <c r="D294">
        <v>0</v>
      </c>
      <c r="E294">
        <f t="shared" si="8"/>
        <v>0</v>
      </c>
    </row>
    <row r="295" spans="1:5">
      <c r="A295" t="s">
        <v>13</v>
      </c>
      <c r="B295" t="s">
        <v>8</v>
      </c>
      <c r="C295" t="str">
        <f t="shared" si="9"/>
        <v>vs</v>
      </c>
      <c r="D295">
        <v>2.666666666666667</v>
      </c>
      <c r="E295">
        <f t="shared" si="8"/>
        <v>2.6666666666666668E-2</v>
      </c>
    </row>
    <row r="296" spans="1:5">
      <c r="A296" t="s">
        <v>13</v>
      </c>
      <c r="B296" t="s">
        <v>9</v>
      </c>
      <c r="C296" t="str">
        <f t="shared" si="9"/>
        <v>vS</v>
      </c>
      <c r="D296">
        <v>0.66666666666666674</v>
      </c>
      <c r="E296">
        <f t="shared" si="8"/>
        <v>6.6666666666666671E-3</v>
      </c>
    </row>
    <row r="297" spans="1:5">
      <c r="A297" t="s">
        <v>13</v>
      </c>
      <c r="B297" t="s">
        <v>10</v>
      </c>
      <c r="C297" t="str">
        <f t="shared" si="9"/>
        <v>vz</v>
      </c>
      <c r="D297">
        <v>9.3333333333333339</v>
      </c>
      <c r="E297">
        <f t="shared" si="8"/>
        <v>9.3333333333333338E-2</v>
      </c>
    </row>
    <row r="298" spans="1:5">
      <c r="A298" t="s">
        <v>13</v>
      </c>
      <c r="B298" t="s">
        <v>11</v>
      </c>
      <c r="C298" t="str">
        <f t="shared" si="9"/>
        <v>vf</v>
      </c>
      <c r="D298">
        <v>1.3333333333333335</v>
      </c>
      <c r="E298">
        <f t="shared" si="8"/>
        <v>1.3333333333333334E-2</v>
      </c>
    </row>
    <row r="299" spans="1:5">
      <c r="A299" t="s">
        <v>13</v>
      </c>
      <c r="B299" t="s">
        <v>12</v>
      </c>
      <c r="C299" t="str">
        <f t="shared" si="9"/>
        <v>vT</v>
      </c>
      <c r="D299">
        <v>10.666666666666668</v>
      </c>
      <c r="E299">
        <f t="shared" si="8"/>
        <v>0.10666666666666667</v>
      </c>
    </row>
    <row r="300" spans="1:5">
      <c r="A300" t="s">
        <v>13</v>
      </c>
      <c r="B300" t="s">
        <v>13</v>
      </c>
      <c r="C300" t="str">
        <f t="shared" si="9"/>
        <v>vv</v>
      </c>
      <c r="D300">
        <v>10.666666666666668</v>
      </c>
      <c r="E300">
        <f t="shared" si="8"/>
        <v>0.10666666666666667</v>
      </c>
    </row>
    <row r="301" spans="1:5">
      <c r="A301" t="s">
        <v>13</v>
      </c>
      <c r="B301" t="s">
        <v>14</v>
      </c>
      <c r="C301" t="str">
        <f t="shared" si="9"/>
        <v>vD</v>
      </c>
      <c r="D301">
        <v>30</v>
      </c>
      <c r="E301">
        <f t="shared" si="8"/>
        <v>0.3</v>
      </c>
    </row>
    <row r="302" spans="1:5">
      <c r="A302" t="s">
        <v>13</v>
      </c>
      <c r="B302" t="s">
        <v>15</v>
      </c>
      <c r="C302" t="str">
        <f t="shared" si="9"/>
        <v>vh</v>
      </c>
      <c r="D302">
        <v>0.66666666666666674</v>
      </c>
      <c r="E302">
        <f t="shared" si="8"/>
        <v>6.6666666666666671E-3</v>
      </c>
    </row>
    <row r="303" spans="1:5">
      <c r="A303" t="s">
        <v>13</v>
      </c>
      <c r="B303" t="s">
        <v>16</v>
      </c>
      <c r="C303" t="str">
        <f t="shared" si="9"/>
        <v>vn</v>
      </c>
      <c r="D303">
        <v>1.3333333333333335</v>
      </c>
      <c r="E303">
        <f t="shared" si="8"/>
        <v>1.3333333333333334E-2</v>
      </c>
    </row>
    <row r="304" spans="1:5">
      <c r="A304" t="s">
        <v>13</v>
      </c>
      <c r="B304" t="s">
        <v>17</v>
      </c>
      <c r="C304" t="str">
        <f t="shared" si="9"/>
        <v>vm</v>
      </c>
      <c r="D304">
        <v>1.3333333333333335</v>
      </c>
      <c r="E304">
        <f t="shared" si="8"/>
        <v>1.3333333333333334E-2</v>
      </c>
    </row>
    <row r="305" spans="1:5">
      <c r="A305" t="s">
        <v>13</v>
      </c>
      <c r="B305" t="s">
        <v>18</v>
      </c>
      <c r="C305" t="str">
        <f t="shared" si="9"/>
        <v>vl</v>
      </c>
      <c r="D305">
        <v>3.3333333333333335</v>
      </c>
      <c r="E305">
        <f t="shared" si="8"/>
        <v>3.3333333333333333E-2</v>
      </c>
    </row>
    <row r="306" spans="1:5">
      <c r="A306" t="s">
        <v>13</v>
      </c>
      <c r="B306" t="s">
        <v>19</v>
      </c>
      <c r="C306" t="str">
        <f t="shared" si="9"/>
        <v>vr</v>
      </c>
      <c r="D306">
        <v>2.666666666666667</v>
      </c>
      <c r="E306">
        <f t="shared" si="8"/>
        <v>2.6666666666666668E-2</v>
      </c>
    </row>
    <row r="307" spans="1:5">
      <c r="A307" t="s">
        <v>13</v>
      </c>
      <c r="B307" t="s">
        <v>20</v>
      </c>
      <c r="C307" t="str">
        <f t="shared" si="9"/>
        <v>vw</v>
      </c>
      <c r="D307">
        <v>0.66666666666666674</v>
      </c>
      <c r="E307">
        <f t="shared" si="8"/>
        <v>6.6666666666666671E-3</v>
      </c>
    </row>
    <row r="308" spans="1:5">
      <c r="A308" t="s">
        <v>13</v>
      </c>
      <c r="B308" t="s">
        <v>21</v>
      </c>
      <c r="C308" t="str">
        <f t="shared" si="9"/>
        <v>vy</v>
      </c>
      <c r="D308">
        <v>0</v>
      </c>
      <c r="E308">
        <f t="shared" si="8"/>
        <v>0</v>
      </c>
    </row>
    <row r="309" spans="1:5">
      <c r="A309" t="s">
        <v>14</v>
      </c>
      <c r="B309" t="s">
        <v>0</v>
      </c>
      <c r="C309" t="str">
        <f t="shared" si="9"/>
        <v>Dp</v>
      </c>
      <c r="D309">
        <v>19.333333333333332</v>
      </c>
      <c r="E309">
        <f t="shared" si="8"/>
        <v>0.19333333333333333</v>
      </c>
    </row>
    <row r="310" spans="1:5">
      <c r="A310" t="s">
        <v>14</v>
      </c>
      <c r="B310" t="s">
        <v>1</v>
      </c>
      <c r="C310" t="str">
        <f t="shared" si="9"/>
        <v>Dt</v>
      </c>
      <c r="D310">
        <v>28</v>
      </c>
      <c r="E310">
        <f t="shared" si="8"/>
        <v>0.28000000000000003</v>
      </c>
    </row>
    <row r="311" spans="1:5">
      <c r="A311" t="s">
        <v>14</v>
      </c>
      <c r="B311" t="s">
        <v>2</v>
      </c>
      <c r="C311" t="str">
        <f t="shared" si="9"/>
        <v>Dk</v>
      </c>
      <c r="D311">
        <v>22</v>
      </c>
      <c r="E311">
        <f t="shared" si="8"/>
        <v>0.22</v>
      </c>
    </row>
    <row r="312" spans="1:5">
      <c r="A312" t="s">
        <v>14</v>
      </c>
      <c r="B312" t="s">
        <v>3</v>
      </c>
      <c r="C312" t="str">
        <f t="shared" si="9"/>
        <v>Db</v>
      </c>
      <c r="D312">
        <v>0.66666666666666674</v>
      </c>
      <c r="E312">
        <f t="shared" si="8"/>
        <v>6.6666666666666671E-3</v>
      </c>
    </row>
    <row r="313" spans="1:5">
      <c r="A313" t="s">
        <v>14</v>
      </c>
      <c r="B313" t="s">
        <v>4</v>
      </c>
      <c r="C313" t="str">
        <f t="shared" si="9"/>
        <v>Dd</v>
      </c>
      <c r="D313">
        <v>0</v>
      </c>
      <c r="E313">
        <f t="shared" si="8"/>
        <v>0</v>
      </c>
    </row>
    <row r="314" spans="1:5">
      <c r="A314" t="s">
        <v>14</v>
      </c>
      <c r="B314" t="s">
        <v>5</v>
      </c>
      <c r="C314" t="str">
        <f t="shared" si="9"/>
        <v>Dg</v>
      </c>
      <c r="D314">
        <v>0</v>
      </c>
      <c r="E314">
        <f t="shared" si="8"/>
        <v>0</v>
      </c>
    </row>
    <row r="315" spans="1:5">
      <c r="A315" t="s">
        <v>14</v>
      </c>
      <c r="B315" t="s">
        <v>6</v>
      </c>
      <c r="C315" t="str">
        <f t="shared" si="9"/>
        <v>DC</v>
      </c>
      <c r="D315">
        <v>1.3333333333333335</v>
      </c>
      <c r="E315">
        <f t="shared" si="8"/>
        <v>1.3333333333333334E-2</v>
      </c>
    </row>
    <row r="316" spans="1:5">
      <c r="A316" t="s">
        <v>14</v>
      </c>
      <c r="B316" t="s">
        <v>7</v>
      </c>
      <c r="C316" t="str">
        <f t="shared" si="9"/>
        <v>DJ</v>
      </c>
      <c r="D316">
        <v>0</v>
      </c>
      <c r="E316">
        <f t="shared" si="8"/>
        <v>0</v>
      </c>
    </row>
    <row r="317" spans="1:5">
      <c r="A317" t="s">
        <v>14</v>
      </c>
      <c r="B317" t="s">
        <v>8</v>
      </c>
      <c r="C317" t="str">
        <f t="shared" si="9"/>
        <v>Ds</v>
      </c>
      <c r="D317">
        <v>0</v>
      </c>
      <c r="E317">
        <f t="shared" si="8"/>
        <v>0</v>
      </c>
    </row>
    <row r="318" spans="1:5">
      <c r="A318" t="s">
        <v>14</v>
      </c>
      <c r="B318" t="s">
        <v>9</v>
      </c>
      <c r="C318" t="str">
        <f t="shared" si="9"/>
        <v>DS</v>
      </c>
      <c r="D318">
        <v>0</v>
      </c>
      <c r="E318">
        <f t="shared" si="8"/>
        <v>0</v>
      </c>
    </row>
    <row r="319" spans="1:5">
      <c r="A319" t="s">
        <v>14</v>
      </c>
      <c r="B319" t="s">
        <v>10</v>
      </c>
      <c r="C319" t="str">
        <f t="shared" si="9"/>
        <v>Dz</v>
      </c>
      <c r="D319">
        <v>0</v>
      </c>
      <c r="E319">
        <f t="shared" si="8"/>
        <v>0</v>
      </c>
    </row>
    <row r="320" spans="1:5">
      <c r="A320" t="s">
        <v>14</v>
      </c>
      <c r="B320" t="s">
        <v>11</v>
      </c>
      <c r="C320" t="str">
        <f t="shared" si="9"/>
        <v>Df</v>
      </c>
      <c r="D320">
        <v>3.3333333333333335</v>
      </c>
      <c r="E320">
        <f t="shared" si="8"/>
        <v>3.3333333333333333E-2</v>
      </c>
    </row>
    <row r="321" spans="1:5">
      <c r="A321" t="s">
        <v>14</v>
      </c>
      <c r="B321" t="s">
        <v>12</v>
      </c>
      <c r="C321" t="str">
        <f t="shared" si="9"/>
        <v>DT</v>
      </c>
      <c r="D321">
        <v>1.3333333333333335</v>
      </c>
      <c r="E321">
        <f t="shared" si="8"/>
        <v>1.3333333333333334E-2</v>
      </c>
    </row>
    <row r="322" spans="1:5">
      <c r="A322" t="s">
        <v>14</v>
      </c>
      <c r="B322" t="s">
        <v>13</v>
      </c>
      <c r="C322" t="str">
        <f t="shared" si="9"/>
        <v>Dv</v>
      </c>
      <c r="D322">
        <v>0.66666666666666674</v>
      </c>
      <c r="E322">
        <f t="shared" ref="E322:E385" si="10">D322/100</f>
        <v>6.6666666666666671E-3</v>
      </c>
    </row>
    <row r="323" spans="1:5">
      <c r="A323" t="s">
        <v>14</v>
      </c>
      <c r="B323" t="s">
        <v>14</v>
      </c>
      <c r="C323" t="str">
        <f t="shared" si="9"/>
        <v>DD</v>
      </c>
      <c r="D323">
        <v>0</v>
      </c>
      <c r="E323">
        <f t="shared" si="10"/>
        <v>0</v>
      </c>
    </row>
    <row r="324" spans="1:5">
      <c r="A324" t="s">
        <v>14</v>
      </c>
      <c r="B324" t="s">
        <v>15</v>
      </c>
      <c r="C324" t="str">
        <f t="shared" si="9"/>
        <v>Dh</v>
      </c>
      <c r="D324">
        <v>12.666666666666668</v>
      </c>
      <c r="E324">
        <f t="shared" si="10"/>
        <v>0.12666666666666668</v>
      </c>
    </row>
    <row r="325" spans="1:5">
      <c r="A325" t="s">
        <v>14</v>
      </c>
      <c r="B325" t="s">
        <v>16</v>
      </c>
      <c r="C325" t="str">
        <f t="shared" si="9"/>
        <v>Dn</v>
      </c>
      <c r="D325">
        <v>1.3333333333333335</v>
      </c>
      <c r="E325">
        <f t="shared" si="10"/>
        <v>1.3333333333333334E-2</v>
      </c>
    </row>
    <row r="326" spans="1:5">
      <c r="A326" t="s">
        <v>14</v>
      </c>
      <c r="B326" t="s">
        <v>17</v>
      </c>
      <c r="C326" t="str">
        <f t="shared" ref="C326:C389" si="11">CONCATENATE(A326, B326)</f>
        <v>Dm</v>
      </c>
      <c r="D326">
        <v>0</v>
      </c>
      <c r="E326">
        <f t="shared" si="10"/>
        <v>0</v>
      </c>
    </row>
    <row r="327" spans="1:5">
      <c r="A327" t="s">
        <v>14</v>
      </c>
      <c r="B327" t="s">
        <v>18</v>
      </c>
      <c r="C327" t="str">
        <f t="shared" si="11"/>
        <v>Dl</v>
      </c>
      <c r="D327">
        <v>0</v>
      </c>
      <c r="E327">
        <f t="shared" si="10"/>
        <v>0</v>
      </c>
    </row>
    <row r="328" spans="1:5">
      <c r="A328" t="s">
        <v>14</v>
      </c>
      <c r="B328" t="s">
        <v>19</v>
      </c>
      <c r="C328" t="str">
        <f t="shared" si="11"/>
        <v>Dr</v>
      </c>
      <c r="D328">
        <v>0</v>
      </c>
      <c r="E328">
        <f t="shared" si="10"/>
        <v>0</v>
      </c>
    </row>
    <row r="329" spans="1:5">
      <c r="A329" t="s">
        <v>14</v>
      </c>
      <c r="B329" t="s">
        <v>20</v>
      </c>
      <c r="C329" t="str">
        <f t="shared" si="11"/>
        <v>Dw</v>
      </c>
      <c r="D329">
        <v>0</v>
      </c>
      <c r="E329">
        <f t="shared" si="10"/>
        <v>0</v>
      </c>
    </row>
    <row r="330" spans="1:5">
      <c r="A330" t="s">
        <v>14</v>
      </c>
      <c r="B330" t="s">
        <v>21</v>
      </c>
      <c r="C330" t="str">
        <f t="shared" si="11"/>
        <v>Dy</v>
      </c>
      <c r="D330">
        <v>0</v>
      </c>
      <c r="E330">
        <f t="shared" si="10"/>
        <v>0</v>
      </c>
    </row>
    <row r="331" spans="1:5">
      <c r="A331" t="s">
        <v>15</v>
      </c>
      <c r="B331" t="s">
        <v>0</v>
      </c>
      <c r="C331" t="str">
        <f t="shared" si="11"/>
        <v>hp</v>
      </c>
      <c r="D331">
        <v>0</v>
      </c>
      <c r="E331">
        <f t="shared" si="10"/>
        <v>0</v>
      </c>
    </row>
    <row r="332" spans="1:5">
      <c r="A332" t="s">
        <v>15</v>
      </c>
      <c r="B332" t="s">
        <v>1</v>
      </c>
      <c r="C332" t="str">
        <f t="shared" si="11"/>
        <v>ht</v>
      </c>
      <c r="D332">
        <v>0.66666666666666674</v>
      </c>
      <c r="E332">
        <f t="shared" si="10"/>
        <v>6.6666666666666671E-3</v>
      </c>
    </row>
    <row r="333" spans="1:5">
      <c r="A333" t="s">
        <v>15</v>
      </c>
      <c r="B333" t="s">
        <v>2</v>
      </c>
      <c r="C333" t="str">
        <f t="shared" si="11"/>
        <v>hk</v>
      </c>
      <c r="D333">
        <v>0.66666666666666674</v>
      </c>
      <c r="E333">
        <f t="shared" si="10"/>
        <v>6.6666666666666671E-3</v>
      </c>
    </row>
    <row r="334" spans="1:5">
      <c r="A334" t="s">
        <v>15</v>
      </c>
      <c r="B334" t="s">
        <v>3</v>
      </c>
      <c r="C334" t="str">
        <f t="shared" si="11"/>
        <v>hb</v>
      </c>
      <c r="D334">
        <v>0</v>
      </c>
      <c r="E334">
        <f t="shared" si="10"/>
        <v>0</v>
      </c>
    </row>
    <row r="335" spans="1:5">
      <c r="A335" t="s">
        <v>15</v>
      </c>
      <c r="B335" t="s">
        <v>4</v>
      </c>
      <c r="C335" t="str">
        <f t="shared" si="11"/>
        <v>hd</v>
      </c>
      <c r="D335">
        <v>0</v>
      </c>
      <c r="E335">
        <f t="shared" si="10"/>
        <v>0</v>
      </c>
    </row>
    <row r="336" spans="1:5">
      <c r="A336" t="s">
        <v>15</v>
      </c>
      <c r="B336" t="s">
        <v>5</v>
      </c>
      <c r="C336" t="str">
        <f t="shared" si="11"/>
        <v>hg</v>
      </c>
      <c r="D336">
        <v>0</v>
      </c>
      <c r="E336">
        <f t="shared" si="10"/>
        <v>0</v>
      </c>
    </row>
    <row r="337" spans="1:5">
      <c r="A337" t="s">
        <v>15</v>
      </c>
      <c r="B337" t="s">
        <v>6</v>
      </c>
      <c r="C337" t="str">
        <f t="shared" si="11"/>
        <v>hC</v>
      </c>
      <c r="D337">
        <v>0.66666666666666674</v>
      </c>
      <c r="E337">
        <f t="shared" si="10"/>
        <v>6.6666666666666671E-3</v>
      </c>
    </row>
    <row r="338" spans="1:5">
      <c r="A338" t="s">
        <v>15</v>
      </c>
      <c r="B338" t="s">
        <v>7</v>
      </c>
      <c r="C338" t="str">
        <f t="shared" si="11"/>
        <v>hJ</v>
      </c>
      <c r="D338">
        <v>0</v>
      </c>
      <c r="E338">
        <f t="shared" si="10"/>
        <v>0</v>
      </c>
    </row>
    <row r="339" spans="1:5">
      <c r="A339" t="s">
        <v>15</v>
      </c>
      <c r="B339" t="s">
        <v>8</v>
      </c>
      <c r="C339" t="str">
        <f t="shared" si="11"/>
        <v>hs</v>
      </c>
      <c r="D339">
        <v>0</v>
      </c>
      <c r="E339">
        <f t="shared" si="10"/>
        <v>0</v>
      </c>
    </row>
    <row r="340" spans="1:5">
      <c r="A340" t="s">
        <v>15</v>
      </c>
      <c r="B340" t="s">
        <v>9</v>
      </c>
      <c r="C340" t="str">
        <f t="shared" si="11"/>
        <v>hS</v>
      </c>
      <c r="D340">
        <v>0</v>
      </c>
      <c r="E340">
        <f t="shared" si="10"/>
        <v>0</v>
      </c>
    </row>
    <row r="341" spans="1:5">
      <c r="A341" t="s">
        <v>15</v>
      </c>
      <c r="B341" t="s">
        <v>10</v>
      </c>
      <c r="C341" t="str">
        <f t="shared" si="11"/>
        <v>hz</v>
      </c>
      <c r="D341">
        <v>0</v>
      </c>
      <c r="E341">
        <f t="shared" si="10"/>
        <v>0</v>
      </c>
    </row>
    <row r="342" spans="1:5">
      <c r="A342" t="s">
        <v>15</v>
      </c>
      <c r="B342" t="s">
        <v>11</v>
      </c>
      <c r="C342" t="str">
        <f t="shared" si="11"/>
        <v>hf</v>
      </c>
      <c r="D342">
        <v>0</v>
      </c>
      <c r="E342">
        <f t="shared" si="10"/>
        <v>0</v>
      </c>
    </row>
    <row r="343" spans="1:5">
      <c r="A343" t="s">
        <v>15</v>
      </c>
      <c r="B343" t="s">
        <v>12</v>
      </c>
      <c r="C343" t="str">
        <f t="shared" si="11"/>
        <v>hT</v>
      </c>
      <c r="D343">
        <v>0</v>
      </c>
      <c r="E343">
        <f t="shared" si="10"/>
        <v>0</v>
      </c>
    </row>
    <row r="344" spans="1:5">
      <c r="A344" t="s">
        <v>15</v>
      </c>
      <c r="B344" t="s">
        <v>13</v>
      </c>
      <c r="C344" t="str">
        <f t="shared" si="11"/>
        <v>hv</v>
      </c>
      <c r="D344">
        <v>0.66666666666666674</v>
      </c>
      <c r="E344">
        <f t="shared" si="10"/>
        <v>6.6666666666666671E-3</v>
      </c>
    </row>
    <row r="345" spans="1:5">
      <c r="A345" t="s">
        <v>15</v>
      </c>
      <c r="B345" t="s">
        <v>14</v>
      </c>
      <c r="C345" t="str">
        <f t="shared" si="11"/>
        <v>hD</v>
      </c>
      <c r="D345">
        <v>0</v>
      </c>
      <c r="E345">
        <f t="shared" si="10"/>
        <v>0</v>
      </c>
    </row>
    <row r="346" spans="1:5">
      <c r="A346" t="s">
        <v>15</v>
      </c>
      <c r="B346" t="s">
        <v>15</v>
      </c>
      <c r="C346" t="str">
        <f t="shared" si="11"/>
        <v>hh</v>
      </c>
      <c r="D346">
        <v>1.3333333333333335</v>
      </c>
      <c r="E346">
        <f t="shared" si="10"/>
        <v>1.3333333333333334E-2</v>
      </c>
    </row>
    <row r="347" spans="1:5">
      <c r="A347" t="s">
        <v>15</v>
      </c>
      <c r="B347" t="s">
        <v>16</v>
      </c>
      <c r="C347" t="str">
        <f t="shared" si="11"/>
        <v>hn</v>
      </c>
      <c r="D347">
        <v>78.666666666666657</v>
      </c>
      <c r="E347">
        <f t="shared" si="10"/>
        <v>0.78666666666666663</v>
      </c>
    </row>
    <row r="348" spans="1:5">
      <c r="A348" t="s">
        <v>15</v>
      </c>
      <c r="B348" t="s">
        <v>17</v>
      </c>
      <c r="C348" t="str">
        <f t="shared" si="11"/>
        <v>hm</v>
      </c>
      <c r="D348">
        <v>17.333333333333336</v>
      </c>
      <c r="E348">
        <f t="shared" si="10"/>
        <v>0.17333333333333337</v>
      </c>
    </row>
    <row r="349" spans="1:5">
      <c r="A349" t="s">
        <v>15</v>
      </c>
      <c r="B349" t="s">
        <v>18</v>
      </c>
      <c r="C349" t="str">
        <f t="shared" si="11"/>
        <v>hl</v>
      </c>
      <c r="D349">
        <v>0</v>
      </c>
      <c r="E349">
        <f t="shared" si="10"/>
        <v>0</v>
      </c>
    </row>
    <row r="350" spans="1:5">
      <c r="A350" t="s">
        <v>15</v>
      </c>
      <c r="B350" t="s">
        <v>19</v>
      </c>
      <c r="C350" t="str">
        <f t="shared" si="11"/>
        <v>hr</v>
      </c>
      <c r="D350">
        <v>0</v>
      </c>
      <c r="E350">
        <f t="shared" si="10"/>
        <v>0</v>
      </c>
    </row>
    <row r="351" spans="1:5">
      <c r="A351" t="s">
        <v>15</v>
      </c>
      <c r="B351" t="s">
        <v>20</v>
      </c>
      <c r="C351" t="str">
        <f t="shared" si="11"/>
        <v>hw</v>
      </c>
      <c r="D351">
        <v>0</v>
      </c>
      <c r="E351">
        <f t="shared" si="10"/>
        <v>0</v>
      </c>
    </row>
    <row r="352" spans="1:5">
      <c r="A352" t="s">
        <v>15</v>
      </c>
      <c r="B352" t="s">
        <v>21</v>
      </c>
      <c r="C352" t="str">
        <f t="shared" si="11"/>
        <v>hy</v>
      </c>
      <c r="D352">
        <v>0</v>
      </c>
      <c r="E352">
        <f t="shared" si="10"/>
        <v>0</v>
      </c>
    </row>
    <row r="353" spans="1:5">
      <c r="A353" t="s">
        <v>16</v>
      </c>
      <c r="B353" t="s">
        <v>0</v>
      </c>
      <c r="C353" t="str">
        <f t="shared" si="11"/>
        <v>np</v>
      </c>
      <c r="D353">
        <v>0</v>
      </c>
      <c r="E353">
        <f t="shared" si="10"/>
        <v>0</v>
      </c>
    </row>
    <row r="354" spans="1:5">
      <c r="A354" t="s">
        <v>16</v>
      </c>
      <c r="B354" t="s">
        <v>1</v>
      </c>
      <c r="C354" t="str">
        <f t="shared" si="11"/>
        <v>nt</v>
      </c>
      <c r="D354">
        <v>0</v>
      </c>
      <c r="E354">
        <f t="shared" si="10"/>
        <v>0</v>
      </c>
    </row>
    <row r="355" spans="1:5">
      <c r="A355" t="s">
        <v>16</v>
      </c>
      <c r="B355" t="s">
        <v>2</v>
      </c>
      <c r="C355" t="str">
        <f t="shared" si="11"/>
        <v>nk</v>
      </c>
      <c r="D355">
        <v>0</v>
      </c>
      <c r="E355">
        <f t="shared" si="10"/>
        <v>0</v>
      </c>
    </row>
    <row r="356" spans="1:5">
      <c r="A356" t="s">
        <v>16</v>
      </c>
      <c r="B356" t="s">
        <v>3</v>
      </c>
      <c r="C356" t="str">
        <f t="shared" si="11"/>
        <v>nb</v>
      </c>
      <c r="D356">
        <v>0</v>
      </c>
      <c r="E356">
        <f t="shared" si="10"/>
        <v>0</v>
      </c>
    </row>
    <row r="357" spans="1:5">
      <c r="A357" t="s">
        <v>16</v>
      </c>
      <c r="B357" t="s">
        <v>4</v>
      </c>
      <c r="C357" t="str">
        <f t="shared" si="11"/>
        <v>nd</v>
      </c>
      <c r="D357">
        <v>0</v>
      </c>
      <c r="E357">
        <f t="shared" si="10"/>
        <v>0</v>
      </c>
    </row>
    <row r="358" spans="1:5">
      <c r="A358" t="s">
        <v>16</v>
      </c>
      <c r="B358" t="s">
        <v>5</v>
      </c>
      <c r="C358" t="str">
        <f t="shared" si="11"/>
        <v>ng</v>
      </c>
      <c r="D358">
        <v>0</v>
      </c>
      <c r="E358">
        <f t="shared" si="10"/>
        <v>0</v>
      </c>
    </row>
    <row r="359" spans="1:5">
      <c r="A359" t="s">
        <v>16</v>
      </c>
      <c r="B359" t="s">
        <v>6</v>
      </c>
      <c r="C359" t="str">
        <f t="shared" si="11"/>
        <v>nC</v>
      </c>
      <c r="D359">
        <v>0</v>
      </c>
      <c r="E359">
        <f t="shared" si="10"/>
        <v>0</v>
      </c>
    </row>
    <row r="360" spans="1:5">
      <c r="A360" t="s">
        <v>16</v>
      </c>
      <c r="B360" t="s">
        <v>7</v>
      </c>
      <c r="C360" t="str">
        <f t="shared" si="11"/>
        <v>nJ</v>
      </c>
      <c r="D360">
        <v>0</v>
      </c>
      <c r="E360">
        <f t="shared" si="10"/>
        <v>0</v>
      </c>
    </row>
    <row r="361" spans="1:5">
      <c r="A361" t="s">
        <v>16</v>
      </c>
      <c r="B361" t="s">
        <v>8</v>
      </c>
      <c r="C361" t="str">
        <f t="shared" si="11"/>
        <v>ns</v>
      </c>
      <c r="D361">
        <v>1.3333333333333335</v>
      </c>
      <c r="E361">
        <f t="shared" si="10"/>
        <v>1.3333333333333334E-2</v>
      </c>
    </row>
    <row r="362" spans="1:5">
      <c r="A362" t="s">
        <v>16</v>
      </c>
      <c r="B362" t="s">
        <v>9</v>
      </c>
      <c r="C362" t="str">
        <f t="shared" si="11"/>
        <v>nS</v>
      </c>
      <c r="D362">
        <v>0</v>
      </c>
      <c r="E362">
        <f t="shared" si="10"/>
        <v>0</v>
      </c>
    </row>
    <row r="363" spans="1:5">
      <c r="A363" t="s">
        <v>16</v>
      </c>
      <c r="B363" t="s">
        <v>10</v>
      </c>
      <c r="C363" t="str">
        <f t="shared" si="11"/>
        <v>nz</v>
      </c>
      <c r="D363">
        <v>0</v>
      </c>
      <c r="E363">
        <f t="shared" si="10"/>
        <v>0</v>
      </c>
    </row>
    <row r="364" spans="1:5">
      <c r="A364" t="s">
        <v>16</v>
      </c>
      <c r="B364" t="s">
        <v>11</v>
      </c>
      <c r="C364" t="str">
        <f t="shared" si="11"/>
        <v>nf</v>
      </c>
      <c r="D364">
        <v>0</v>
      </c>
      <c r="E364">
        <f t="shared" si="10"/>
        <v>0</v>
      </c>
    </row>
    <row r="365" spans="1:5">
      <c r="A365" t="s">
        <v>16</v>
      </c>
      <c r="B365" t="s">
        <v>12</v>
      </c>
      <c r="C365" t="str">
        <f t="shared" si="11"/>
        <v>nT</v>
      </c>
      <c r="D365">
        <v>0</v>
      </c>
      <c r="E365">
        <f t="shared" si="10"/>
        <v>0</v>
      </c>
    </row>
    <row r="366" spans="1:5">
      <c r="A366" t="s">
        <v>16</v>
      </c>
      <c r="B366" t="s">
        <v>13</v>
      </c>
      <c r="C366" t="str">
        <f t="shared" si="11"/>
        <v>nv</v>
      </c>
      <c r="D366">
        <v>0</v>
      </c>
      <c r="E366">
        <f t="shared" si="10"/>
        <v>0</v>
      </c>
    </row>
    <row r="367" spans="1:5">
      <c r="A367" t="s">
        <v>16</v>
      </c>
      <c r="B367" t="s">
        <v>14</v>
      </c>
      <c r="C367" t="str">
        <f t="shared" si="11"/>
        <v>nD</v>
      </c>
      <c r="D367">
        <v>0</v>
      </c>
      <c r="E367">
        <f t="shared" si="10"/>
        <v>0</v>
      </c>
    </row>
    <row r="368" spans="1:5">
      <c r="A368" t="s">
        <v>16</v>
      </c>
      <c r="B368" t="s">
        <v>15</v>
      </c>
      <c r="C368" t="str">
        <f t="shared" si="11"/>
        <v>nh</v>
      </c>
      <c r="D368">
        <v>0</v>
      </c>
      <c r="E368">
        <f t="shared" si="10"/>
        <v>0</v>
      </c>
    </row>
    <row r="369" spans="1:5">
      <c r="A369" t="s">
        <v>16</v>
      </c>
      <c r="B369" t="s">
        <v>16</v>
      </c>
      <c r="C369" t="str">
        <f t="shared" si="11"/>
        <v>nn</v>
      </c>
      <c r="D369">
        <v>13.333333333333334</v>
      </c>
      <c r="E369">
        <f t="shared" si="10"/>
        <v>0.13333333333333333</v>
      </c>
    </row>
    <row r="370" spans="1:5">
      <c r="A370" t="s">
        <v>16</v>
      </c>
      <c r="B370" t="s">
        <v>17</v>
      </c>
      <c r="C370" t="str">
        <f t="shared" si="11"/>
        <v>nm</v>
      </c>
      <c r="D370">
        <v>84</v>
      </c>
      <c r="E370">
        <f t="shared" si="10"/>
        <v>0.84</v>
      </c>
    </row>
    <row r="371" spans="1:5">
      <c r="A371" t="s">
        <v>16</v>
      </c>
      <c r="B371" t="s">
        <v>18</v>
      </c>
      <c r="C371" t="str">
        <f t="shared" si="11"/>
        <v>nl</v>
      </c>
      <c r="D371">
        <v>0</v>
      </c>
      <c r="E371">
        <f t="shared" si="10"/>
        <v>0</v>
      </c>
    </row>
    <row r="372" spans="1:5">
      <c r="A372" t="s">
        <v>16</v>
      </c>
      <c r="B372" t="s">
        <v>19</v>
      </c>
      <c r="C372" t="str">
        <f t="shared" si="11"/>
        <v>nr</v>
      </c>
      <c r="D372">
        <v>0</v>
      </c>
      <c r="E372">
        <f t="shared" si="10"/>
        <v>0</v>
      </c>
    </row>
    <row r="373" spans="1:5">
      <c r="A373" t="s">
        <v>16</v>
      </c>
      <c r="B373" t="s">
        <v>20</v>
      </c>
      <c r="C373" t="str">
        <f t="shared" si="11"/>
        <v>nw</v>
      </c>
      <c r="D373">
        <v>0</v>
      </c>
      <c r="E373">
        <f t="shared" si="10"/>
        <v>0</v>
      </c>
    </row>
    <row r="374" spans="1:5">
      <c r="A374" t="s">
        <v>16</v>
      </c>
      <c r="B374" t="s">
        <v>21</v>
      </c>
      <c r="C374" t="str">
        <f t="shared" si="11"/>
        <v>ny</v>
      </c>
      <c r="D374">
        <v>0.66666666666666674</v>
      </c>
      <c r="E374">
        <f t="shared" si="10"/>
        <v>6.6666666666666671E-3</v>
      </c>
    </row>
    <row r="375" spans="1:5">
      <c r="A375" t="s">
        <v>17</v>
      </c>
      <c r="B375" t="s">
        <v>0</v>
      </c>
      <c r="C375" t="str">
        <f t="shared" si="11"/>
        <v>mp</v>
      </c>
      <c r="D375">
        <v>2</v>
      </c>
      <c r="E375">
        <f t="shared" si="10"/>
        <v>0.02</v>
      </c>
    </row>
    <row r="376" spans="1:5">
      <c r="A376" t="s">
        <v>17</v>
      </c>
      <c r="B376" t="s">
        <v>1</v>
      </c>
      <c r="C376" t="str">
        <f t="shared" si="11"/>
        <v>mt</v>
      </c>
      <c r="D376">
        <v>0</v>
      </c>
      <c r="E376">
        <f t="shared" si="10"/>
        <v>0</v>
      </c>
    </row>
    <row r="377" spans="1:5">
      <c r="A377" t="s">
        <v>17</v>
      </c>
      <c r="B377" t="s">
        <v>2</v>
      </c>
      <c r="C377" t="str">
        <f t="shared" si="11"/>
        <v>mk</v>
      </c>
      <c r="D377">
        <v>0.66666666666666674</v>
      </c>
      <c r="E377">
        <f t="shared" si="10"/>
        <v>6.6666666666666671E-3</v>
      </c>
    </row>
    <row r="378" spans="1:5">
      <c r="A378" t="s">
        <v>17</v>
      </c>
      <c r="B378" t="s">
        <v>3</v>
      </c>
      <c r="C378" t="str">
        <f t="shared" si="11"/>
        <v>mb</v>
      </c>
      <c r="D378">
        <v>7.333333333333333</v>
      </c>
      <c r="E378">
        <f t="shared" si="10"/>
        <v>7.3333333333333334E-2</v>
      </c>
    </row>
    <row r="379" spans="1:5">
      <c r="A379" t="s">
        <v>17</v>
      </c>
      <c r="B379" t="s">
        <v>4</v>
      </c>
      <c r="C379" t="str">
        <f t="shared" si="11"/>
        <v>md</v>
      </c>
      <c r="D379">
        <v>0.66666666666666674</v>
      </c>
      <c r="E379">
        <f t="shared" si="10"/>
        <v>6.6666666666666671E-3</v>
      </c>
    </row>
    <row r="380" spans="1:5">
      <c r="A380" t="s">
        <v>17</v>
      </c>
      <c r="B380" t="s">
        <v>5</v>
      </c>
      <c r="C380" t="str">
        <f t="shared" si="11"/>
        <v>mg</v>
      </c>
      <c r="D380">
        <v>2.666666666666667</v>
      </c>
      <c r="E380">
        <f t="shared" si="10"/>
        <v>2.6666666666666668E-2</v>
      </c>
    </row>
    <row r="381" spans="1:5">
      <c r="A381" t="s">
        <v>17</v>
      </c>
      <c r="B381" t="s">
        <v>6</v>
      </c>
      <c r="C381" t="str">
        <f t="shared" si="11"/>
        <v>mC</v>
      </c>
      <c r="D381">
        <v>0.66666666666666674</v>
      </c>
      <c r="E381">
        <f t="shared" si="10"/>
        <v>6.6666666666666671E-3</v>
      </c>
    </row>
    <row r="382" spans="1:5">
      <c r="A382" t="s">
        <v>17</v>
      </c>
      <c r="B382" t="s">
        <v>7</v>
      </c>
      <c r="C382" t="str">
        <f t="shared" si="11"/>
        <v>mJ</v>
      </c>
      <c r="D382">
        <v>0.66666666666666674</v>
      </c>
      <c r="E382">
        <f t="shared" si="10"/>
        <v>6.6666666666666671E-3</v>
      </c>
    </row>
    <row r="383" spans="1:5">
      <c r="A383" t="s">
        <v>17</v>
      </c>
      <c r="B383" t="s">
        <v>8</v>
      </c>
      <c r="C383" t="str">
        <f t="shared" si="11"/>
        <v>ms</v>
      </c>
      <c r="D383">
        <v>0</v>
      </c>
      <c r="E383">
        <f t="shared" si="10"/>
        <v>0</v>
      </c>
    </row>
    <row r="384" spans="1:5">
      <c r="A384" t="s">
        <v>17</v>
      </c>
      <c r="B384" t="s">
        <v>9</v>
      </c>
      <c r="C384" t="str">
        <f t="shared" si="11"/>
        <v>mS</v>
      </c>
      <c r="D384">
        <v>0</v>
      </c>
      <c r="E384">
        <f t="shared" si="10"/>
        <v>0</v>
      </c>
    </row>
    <row r="385" spans="1:5">
      <c r="A385" t="s">
        <v>17</v>
      </c>
      <c r="B385" t="s">
        <v>10</v>
      </c>
      <c r="C385" t="str">
        <f t="shared" si="11"/>
        <v>mz</v>
      </c>
      <c r="D385">
        <v>0</v>
      </c>
      <c r="E385">
        <f t="shared" si="10"/>
        <v>0</v>
      </c>
    </row>
    <row r="386" spans="1:5">
      <c r="A386" t="s">
        <v>17</v>
      </c>
      <c r="B386" t="s">
        <v>11</v>
      </c>
      <c r="C386" t="str">
        <f t="shared" si="11"/>
        <v>mf</v>
      </c>
      <c r="D386">
        <v>3.3333333333333335</v>
      </c>
      <c r="E386">
        <f t="shared" ref="E386:E449" si="12">D386/100</f>
        <v>3.3333333333333333E-2</v>
      </c>
    </row>
    <row r="387" spans="1:5">
      <c r="A387" t="s">
        <v>17</v>
      </c>
      <c r="B387" t="s">
        <v>12</v>
      </c>
      <c r="C387" t="str">
        <f t="shared" si="11"/>
        <v>mT</v>
      </c>
      <c r="D387">
        <v>0</v>
      </c>
      <c r="E387">
        <f t="shared" si="12"/>
        <v>0</v>
      </c>
    </row>
    <row r="388" spans="1:5">
      <c r="A388" t="s">
        <v>17</v>
      </c>
      <c r="B388" t="s">
        <v>13</v>
      </c>
      <c r="C388" t="str">
        <f t="shared" si="11"/>
        <v>mv</v>
      </c>
      <c r="D388">
        <v>0</v>
      </c>
      <c r="E388">
        <f t="shared" si="12"/>
        <v>0</v>
      </c>
    </row>
    <row r="389" spans="1:5">
      <c r="A389" t="s">
        <v>17</v>
      </c>
      <c r="B389" t="s">
        <v>14</v>
      </c>
      <c r="C389" t="str">
        <f t="shared" si="11"/>
        <v>mD</v>
      </c>
      <c r="D389">
        <v>0</v>
      </c>
      <c r="E389">
        <f t="shared" si="12"/>
        <v>0</v>
      </c>
    </row>
    <row r="390" spans="1:5">
      <c r="A390" t="s">
        <v>17</v>
      </c>
      <c r="B390" t="s">
        <v>15</v>
      </c>
      <c r="C390" t="str">
        <f t="shared" ref="C390:C453" si="13">CONCATENATE(A390, B390)</f>
        <v>mh</v>
      </c>
      <c r="D390">
        <v>1.3333333333333335</v>
      </c>
      <c r="E390">
        <f t="shared" si="12"/>
        <v>1.3333333333333334E-2</v>
      </c>
    </row>
    <row r="391" spans="1:5">
      <c r="A391" t="s">
        <v>17</v>
      </c>
      <c r="B391" t="s">
        <v>16</v>
      </c>
      <c r="C391" t="str">
        <f t="shared" si="13"/>
        <v>mn</v>
      </c>
      <c r="D391">
        <v>1.3333333333333335</v>
      </c>
      <c r="E391">
        <f t="shared" si="12"/>
        <v>1.3333333333333334E-2</v>
      </c>
    </row>
    <row r="392" spans="1:5">
      <c r="A392" t="s">
        <v>17</v>
      </c>
      <c r="B392" t="s">
        <v>17</v>
      </c>
      <c r="C392" t="str">
        <f t="shared" si="13"/>
        <v>mm</v>
      </c>
      <c r="D392">
        <v>2</v>
      </c>
      <c r="E392">
        <f t="shared" si="12"/>
        <v>0.02</v>
      </c>
    </row>
    <row r="393" spans="1:5">
      <c r="A393" t="s">
        <v>17</v>
      </c>
      <c r="B393" t="s">
        <v>18</v>
      </c>
      <c r="C393" t="str">
        <f t="shared" si="13"/>
        <v>ml</v>
      </c>
      <c r="D393">
        <v>71.333333333333343</v>
      </c>
      <c r="E393">
        <f t="shared" si="12"/>
        <v>0.71333333333333337</v>
      </c>
    </row>
    <row r="394" spans="1:5">
      <c r="A394" t="s">
        <v>17</v>
      </c>
      <c r="B394" t="s">
        <v>19</v>
      </c>
      <c r="C394" t="str">
        <f t="shared" si="13"/>
        <v>mr</v>
      </c>
      <c r="D394">
        <v>2</v>
      </c>
      <c r="E394">
        <f t="shared" si="12"/>
        <v>0.02</v>
      </c>
    </row>
    <row r="395" spans="1:5">
      <c r="A395" t="s">
        <v>17</v>
      </c>
      <c r="B395" t="s">
        <v>20</v>
      </c>
      <c r="C395" t="str">
        <f t="shared" si="13"/>
        <v>mw</v>
      </c>
      <c r="D395">
        <v>0.66666666666666674</v>
      </c>
      <c r="E395">
        <f t="shared" si="12"/>
        <v>6.6666666666666671E-3</v>
      </c>
    </row>
    <row r="396" spans="1:5">
      <c r="A396" t="s">
        <v>17</v>
      </c>
      <c r="B396" t="s">
        <v>21</v>
      </c>
      <c r="C396" t="str">
        <f t="shared" si="13"/>
        <v>my</v>
      </c>
      <c r="D396">
        <v>1.3333333333333335</v>
      </c>
      <c r="E396">
        <f t="shared" si="12"/>
        <v>1.3333333333333334E-2</v>
      </c>
    </row>
    <row r="397" spans="1:5">
      <c r="A397" t="s">
        <v>18</v>
      </c>
      <c r="B397" t="s">
        <v>0</v>
      </c>
      <c r="C397" t="str">
        <f t="shared" si="13"/>
        <v>lp</v>
      </c>
      <c r="D397">
        <v>0</v>
      </c>
      <c r="E397">
        <f t="shared" si="12"/>
        <v>0</v>
      </c>
    </row>
    <row r="398" spans="1:5">
      <c r="A398" t="s">
        <v>18</v>
      </c>
      <c r="B398" t="s">
        <v>1</v>
      </c>
      <c r="C398" t="str">
        <f t="shared" si="13"/>
        <v>lt</v>
      </c>
      <c r="D398">
        <v>0.66666666666666674</v>
      </c>
      <c r="E398">
        <f t="shared" si="12"/>
        <v>6.6666666666666671E-3</v>
      </c>
    </row>
    <row r="399" spans="1:5">
      <c r="A399" t="s">
        <v>18</v>
      </c>
      <c r="B399" t="s">
        <v>2</v>
      </c>
      <c r="C399" t="str">
        <f t="shared" si="13"/>
        <v>lk</v>
      </c>
      <c r="D399">
        <v>0.66666666666666674</v>
      </c>
      <c r="E399">
        <f t="shared" si="12"/>
        <v>6.6666666666666671E-3</v>
      </c>
    </row>
    <row r="400" spans="1:5">
      <c r="A400" t="s">
        <v>18</v>
      </c>
      <c r="B400" t="s">
        <v>3</v>
      </c>
      <c r="C400" t="str">
        <f t="shared" si="13"/>
        <v>lb</v>
      </c>
      <c r="D400">
        <v>1.3333333333333335</v>
      </c>
      <c r="E400">
        <f t="shared" si="12"/>
        <v>1.3333333333333334E-2</v>
      </c>
    </row>
    <row r="401" spans="1:5">
      <c r="A401" t="s">
        <v>18</v>
      </c>
      <c r="B401" t="s">
        <v>4</v>
      </c>
      <c r="C401" t="str">
        <f t="shared" si="13"/>
        <v>ld</v>
      </c>
      <c r="D401">
        <v>0.66666666666666674</v>
      </c>
      <c r="E401">
        <f t="shared" si="12"/>
        <v>6.6666666666666671E-3</v>
      </c>
    </row>
    <row r="402" spans="1:5">
      <c r="A402" t="s">
        <v>18</v>
      </c>
      <c r="B402" t="s">
        <v>5</v>
      </c>
      <c r="C402" t="str">
        <f t="shared" si="13"/>
        <v>lg</v>
      </c>
      <c r="D402">
        <v>4.666666666666667</v>
      </c>
      <c r="E402">
        <f t="shared" si="12"/>
        <v>4.6666666666666669E-2</v>
      </c>
    </row>
    <row r="403" spans="1:5">
      <c r="A403" t="s">
        <v>18</v>
      </c>
      <c r="B403" t="s">
        <v>6</v>
      </c>
      <c r="C403" t="str">
        <f t="shared" si="13"/>
        <v>lC</v>
      </c>
      <c r="D403">
        <v>0</v>
      </c>
      <c r="E403">
        <f t="shared" si="12"/>
        <v>0</v>
      </c>
    </row>
    <row r="404" spans="1:5">
      <c r="A404" t="s">
        <v>18</v>
      </c>
      <c r="B404" t="s">
        <v>7</v>
      </c>
      <c r="C404" t="str">
        <f t="shared" si="13"/>
        <v>lJ</v>
      </c>
      <c r="D404">
        <v>0.66666666666666674</v>
      </c>
      <c r="E404">
        <f t="shared" si="12"/>
        <v>6.6666666666666671E-3</v>
      </c>
    </row>
    <row r="405" spans="1:5">
      <c r="A405" t="s">
        <v>18</v>
      </c>
      <c r="B405" t="s">
        <v>8</v>
      </c>
      <c r="C405" t="str">
        <f t="shared" si="13"/>
        <v>ls</v>
      </c>
      <c r="D405">
        <v>0</v>
      </c>
      <c r="E405">
        <f t="shared" si="12"/>
        <v>0</v>
      </c>
    </row>
    <row r="406" spans="1:5">
      <c r="A406" t="s">
        <v>18</v>
      </c>
      <c r="B406" t="s">
        <v>9</v>
      </c>
      <c r="C406" t="str">
        <f t="shared" si="13"/>
        <v>lS</v>
      </c>
      <c r="D406">
        <v>0</v>
      </c>
      <c r="E406">
        <f t="shared" si="12"/>
        <v>0</v>
      </c>
    </row>
    <row r="407" spans="1:5">
      <c r="A407" t="s">
        <v>18</v>
      </c>
      <c r="B407" t="s">
        <v>10</v>
      </c>
      <c r="C407" t="str">
        <f t="shared" si="13"/>
        <v>lz</v>
      </c>
      <c r="D407">
        <v>0.66666666666666674</v>
      </c>
      <c r="E407">
        <f t="shared" si="12"/>
        <v>6.6666666666666671E-3</v>
      </c>
    </row>
    <row r="408" spans="1:5">
      <c r="A408" t="s">
        <v>18</v>
      </c>
      <c r="B408" t="s">
        <v>11</v>
      </c>
      <c r="C408" t="str">
        <f t="shared" si="13"/>
        <v>lf</v>
      </c>
      <c r="D408">
        <v>0.66666666666666674</v>
      </c>
      <c r="E408">
        <f t="shared" si="12"/>
        <v>6.6666666666666671E-3</v>
      </c>
    </row>
    <row r="409" spans="1:5">
      <c r="A409" t="s">
        <v>18</v>
      </c>
      <c r="B409" t="s">
        <v>12</v>
      </c>
      <c r="C409" t="str">
        <f t="shared" si="13"/>
        <v>lT</v>
      </c>
      <c r="D409">
        <v>0</v>
      </c>
      <c r="E409">
        <f t="shared" si="12"/>
        <v>0</v>
      </c>
    </row>
    <row r="410" spans="1:5">
      <c r="A410" t="s">
        <v>18</v>
      </c>
      <c r="B410" t="s">
        <v>13</v>
      </c>
      <c r="C410" t="str">
        <f t="shared" si="13"/>
        <v>lv</v>
      </c>
      <c r="D410">
        <v>0</v>
      </c>
      <c r="E410">
        <f t="shared" si="12"/>
        <v>0</v>
      </c>
    </row>
    <row r="411" spans="1:5">
      <c r="A411" t="s">
        <v>18</v>
      </c>
      <c r="B411" t="s">
        <v>14</v>
      </c>
      <c r="C411" t="str">
        <f t="shared" si="13"/>
        <v>lD</v>
      </c>
      <c r="D411">
        <v>0</v>
      </c>
      <c r="E411">
        <f t="shared" si="12"/>
        <v>0</v>
      </c>
    </row>
    <row r="412" spans="1:5">
      <c r="A412" t="s">
        <v>18</v>
      </c>
      <c r="B412" t="s">
        <v>15</v>
      </c>
      <c r="C412" t="str">
        <f t="shared" si="13"/>
        <v>lh</v>
      </c>
      <c r="D412">
        <v>0</v>
      </c>
      <c r="E412">
        <f t="shared" si="12"/>
        <v>0</v>
      </c>
    </row>
    <row r="413" spans="1:5">
      <c r="A413" t="s">
        <v>18</v>
      </c>
      <c r="B413" t="s">
        <v>16</v>
      </c>
      <c r="C413" t="str">
        <f t="shared" si="13"/>
        <v>ln</v>
      </c>
      <c r="D413">
        <v>0</v>
      </c>
      <c r="E413">
        <f t="shared" si="12"/>
        <v>0</v>
      </c>
    </row>
    <row r="414" spans="1:5">
      <c r="A414" t="s">
        <v>18</v>
      </c>
      <c r="B414" t="s">
        <v>17</v>
      </c>
      <c r="C414" t="str">
        <f t="shared" si="13"/>
        <v>lm</v>
      </c>
      <c r="D414">
        <v>0.66666666666666674</v>
      </c>
      <c r="E414">
        <f t="shared" si="12"/>
        <v>6.6666666666666671E-3</v>
      </c>
    </row>
    <row r="415" spans="1:5">
      <c r="A415" t="s">
        <v>18</v>
      </c>
      <c r="B415" t="s">
        <v>18</v>
      </c>
      <c r="C415" t="str">
        <f t="shared" si="13"/>
        <v>ll</v>
      </c>
      <c r="D415">
        <v>20</v>
      </c>
      <c r="E415">
        <f t="shared" si="12"/>
        <v>0.2</v>
      </c>
    </row>
    <row r="416" spans="1:5">
      <c r="A416" t="s">
        <v>18</v>
      </c>
      <c r="B416" t="s">
        <v>19</v>
      </c>
      <c r="C416" t="str">
        <f t="shared" si="13"/>
        <v>lr</v>
      </c>
      <c r="D416">
        <v>45.333333333333329</v>
      </c>
      <c r="E416">
        <f t="shared" si="12"/>
        <v>0.45333333333333331</v>
      </c>
    </row>
    <row r="417" spans="1:5">
      <c r="A417" t="s">
        <v>18</v>
      </c>
      <c r="B417" t="s">
        <v>20</v>
      </c>
      <c r="C417" t="str">
        <f t="shared" si="13"/>
        <v>lw</v>
      </c>
      <c r="D417">
        <v>9.3333333333333339</v>
      </c>
      <c r="E417">
        <f t="shared" si="12"/>
        <v>9.3333333333333338E-2</v>
      </c>
    </row>
    <row r="418" spans="1:5">
      <c r="A418" t="s">
        <v>18</v>
      </c>
      <c r="B418" t="s">
        <v>21</v>
      </c>
      <c r="C418" t="str">
        <f t="shared" si="13"/>
        <v>ly</v>
      </c>
      <c r="D418">
        <v>13.333333333333334</v>
      </c>
      <c r="E418">
        <f t="shared" si="12"/>
        <v>0.13333333333333333</v>
      </c>
    </row>
    <row r="419" spans="1:5">
      <c r="A419" t="s">
        <v>19</v>
      </c>
      <c r="B419" t="s">
        <v>0</v>
      </c>
      <c r="C419" t="str">
        <f t="shared" si="13"/>
        <v>rp</v>
      </c>
      <c r="D419">
        <v>0</v>
      </c>
      <c r="E419">
        <f t="shared" si="12"/>
        <v>0</v>
      </c>
    </row>
    <row r="420" spans="1:5">
      <c r="A420" t="s">
        <v>19</v>
      </c>
      <c r="B420" t="s">
        <v>1</v>
      </c>
      <c r="C420" t="str">
        <f t="shared" si="13"/>
        <v>rt</v>
      </c>
      <c r="D420">
        <v>2.666666666666667</v>
      </c>
      <c r="E420">
        <f t="shared" si="12"/>
        <v>2.6666666666666668E-2</v>
      </c>
    </row>
    <row r="421" spans="1:5">
      <c r="A421" t="s">
        <v>19</v>
      </c>
      <c r="B421" t="s">
        <v>2</v>
      </c>
      <c r="C421" t="str">
        <f t="shared" si="13"/>
        <v>rk</v>
      </c>
      <c r="D421">
        <v>0.66666666666666674</v>
      </c>
      <c r="E421">
        <f t="shared" si="12"/>
        <v>6.6666666666666671E-3</v>
      </c>
    </row>
    <row r="422" spans="1:5">
      <c r="A422" t="s">
        <v>19</v>
      </c>
      <c r="B422" t="s">
        <v>3</v>
      </c>
      <c r="C422" t="str">
        <f t="shared" si="13"/>
        <v>rb</v>
      </c>
      <c r="D422">
        <v>1.3333333333333335</v>
      </c>
      <c r="E422">
        <f t="shared" si="12"/>
        <v>1.3333333333333334E-2</v>
      </c>
    </row>
    <row r="423" spans="1:5">
      <c r="A423" t="s">
        <v>19</v>
      </c>
      <c r="B423" t="s">
        <v>4</v>
      </c>
      <c r="C423" t="str">
        <f t="shared" si="13"/>
        <v>rd</v>
      </c>
      <c r="D423">
        <v>0.66666666666666674</v>
      </c>
      <c r="E423">
        <f t="shared" si="12"/>
        <v>6.6666666666666671E-3</v>
      </c>
    </row>
    <row r="424" spans="1:5">
      <c r="A424" t="s">
        <v>19</v>
      </c>
      <c r="B424" t="s">
        <v>5</v>
      </c>
      <c r="C424" t="str">
        <f t="shared" si="13"/>
        <v>rg</v>
      </c>
      <c r="D424">
        <v>1.3333333333333335</v>
      </c>
      <c r="E424">
        <f t="shared" si="12"/>
        <v>1.3333333333333334E-2</v>
      </c>
    </row>
    <row r="425" spans="1:5">
      <c r="A425" t="s">
        <v>19</v>
      </c>
      <c r="B425" t="s">
        <v>6</v>
      </c>
      <c r="C425" t="str">
        <f t="shared" si="13"/>
        <v>rC</v>
      </c>
      <c r="D425">
        <v>0.66666666666666674</v>
      </c>
      <c r="E425">
        <f t="shared" si="12"/>
        <v>6.6666666666666671E-3</v>
      </c>
    </row>
    <row r="426" spans="1:5">
      <c r="A426" t="s">
        <v>19</v>
      </c>
      <c r="B426" t="s">
        <v>7</v>
      </c>
      <c r="C426" t="str">
        <f t="shared" si="13"/>
        <v>rJ</v>
      </c>
      <c r="D426">
        <v>0.66666666666666674</v>
      </c>
      <c r="E426">
        <f t="shared" si="12"/>
        <v>6.6666666666666671E-3</v>
      </c>
    </row>
    <row r="427" spans="1:5">
      <c r="A427" t="s">
        <v>19</v>
      </c>
      <c r="B427" t="s">
        <v>8</v>
      </c>
      <c r="C427" t="str">
        <f t="shared" si="13"/>
        <v>rs</v>
      </c>
      <c r="D427">
        <v>0.66666666666666674</v>
      </c>
      <c r="E427">
        <f t="shared" si="12"/>
        <v>6.6666666666666671E-3</v>
      </c>
    </row>
    <row r="428" spans="1:5">
      <c r="A428" t="s">
        <v>19</v>
      </c>
      <c r="B428" t="s">
        <v>9</v>
      </c>
      <c r="C428" t="str">
        <f t="shared" si="13"/>
        <v>rS</v>
      </c>
      <c r="D428">
        <v>0</v>
      </c>
      <c r="E428">
        <f t="shared" si="12"/>
        <v>0</v>
      </c>
    </row>
    <row r="429" spans="1:5">
      <c r="A429" t="s">
        <v>19</v>
      </c>
      <c r="B429" t="s">
        <v>10</v>
      </c>
      <c r="C429" t="str">
        <f t="shared" si="13"/>
        <v>rz</v>
      </c>
      <c r="D429">
        <v>0.66666666666666674</v>
      </c>
      <c r="E429">
        <f t="shared" si="12"/>
        <v>6.6666666666666671E-3</v>
      </c>
    </row>
    <row r="430" spans="1:5">
      <c r="A430" t="s">
        <v>19</v>
      </c>
      <c r="B430" t="s">
        <v>11</v>
      </c>
      <c r="C430" t="str">
        <f t="shared" si="13"/>
        <v>rf</v>
      </c>
      <c r="D430">
        <v>0.66666666666666674</v>
      </c>
      <c r="E430">
        <f t="shared" si="12"/>
        <v>6.6666666666666671E-3</v>
      </c>
    </row>
    <row r="431" spans="1:5">
      <c r="A431" t="s">
        <v>19</v>
      </c>
      <c r="B431" t="s">
        <v>12</v>
      </c>
      <c r="C431" t="str">
        <f t="shared" si="13"/>
        <v>rT</v>
      </c>
      <c r="D431">
        <v>0</v>
      </c>
      <c r="E431">
        <f t="shared" si="12"/>
        <v>0</v>
      </c>
    </row>
    <row r="432" spans="1:5">
      <c r="A432" t="s">
        <v>19</v>
      </c>
      <c r="B432" t="s">
        <v>13</v>
      </c>
      <c r="C432" t="str">
        <f t="shared" si="13"/>
        <v>rv</v>
      </c>
      <c r="D432">
        <v>0.66666666666666674</v>
      </c>
      <c r="E432">
        <f t="shared" si="12"/>
        <v>6.6666666666666671E-3</v>
      </c>
    </row>
    <row r="433" spans="1:5">
      <c r="A433" t="s">
        <v>19</v>
      </c>
      <c r="B433" t="s">
        <v>14</v>
      </c>
      <c r="C433" t="str">
        <f t="shared" si="13"/>
        <v>rD</v>
      </c>
      <c r="D433">
        <v>1.3333333333333335</v>
      </c>
      <c r="E433">
        <f t="shared" si="12"/>
        <v>1.3333333333333334E-2</v>
      </c>
    </row>
    <row r="434" spans="1:5">
      <c r="A434" t="s">
        <v>19</v>
      </c>
      <c r="B434" t="s">
        <v>15</v>
      </c>
      <c r="C434" t="str">
        <f t="shared" si="13"/>
        <v>rh</v>
      </c>
      <c r="D434">
        <v>1.3333333333333335</v>
      </c>
      <c r="E434">
        <f t="shared" si="12"/>
        <v>1.3333333333333334E-2</v>
      </c>
    </row>
    <row r="435" spans="1:5">
      <c r="A435" t="s">
        <v>19</v>
      </c>
      <c r="B435" t="s">
        <v>16</v>
      </c>
      <c r="C435" t="str">
        <f t="shared" si="13"/>
        <v>rn</v>
      </c>
      <c r="D435">
        <v>0.66666666666666674</v>
      </c>
      <c r="E435">
        <f t="shared" si="12"/>
        <v>6.6666666666666671E-3</v>
      </c>
    </row>
    <row r="436" spans="1:5">
      <c r="A436" t="s">
        <v>19</v>
      </c>
      <c r="B436" t="s">
        <v>17</v>
      </c>
      <c r="C436" t="str">
        <f t="shared" si="13"/>
        <v>rm</v>
      </c>
      <c r="D436">
        <v>0</v>
      </c>
      <c r="E436">
        <f t="shared" si="12"/>
        <v>0</v>
      </c>
    </row>
    <row r="437" spans="1:5">
      <c r="A437" t="s">
        <v>19</v>
      </c>
      <c r="B437" t="s">
        <v>18</v>
      </c>
      <c r="C437" t="str">
        <f t="shared" si="13"/>
        <v>rl</v>
      </c>
      <c r="D437">
        <v>9.3333333333333339</v>
      </c>
      <c r="E437">
        <f t="shared" si="12"/>
        <v>9.3333333333333338E-2</v>
      </c>
    </row>
    <row r="438" spans="1:5">
      <c r="A438" t="s">
        <v>19</v>
      </c>
      <c r="B438" t="s">
        <v>19</v>
      </c>
      <c r="C438" t="str">
        <f t="shared" si="13"/>
        <v>rr</v>
      </c>
      <c r="D438">
        <v>14.666666666666666</v>
      </c>
      <c r="E438">
        <f t="shared" si="12"/>
        <v>0.14666666666666667</v>
      </c>
    </row>
    <row r="439" spans="1:5">
      <c r="A439" t="s">
        <v>19</v>
      </c>
      <c r="B439" t="s">
        <v>20</v>
      </c>
      <c r="C439" t="str">
        <f t="shared" si="13"/>
        <v>rw</v>
      </c>
      <c r="D439">
        <v>50</v>
      </c>
      <c r="E439">
        <f t="shared" si="12"/>
        <v>0.5</v>
      </c>
    </row>
    <row r="440" spans="1:5">
      <c r="A440" t="s">
        <v>19</v>
      </c>
      <c r="B440" t="s">
        <v>21</v>
      </c>
      <c r="C440" t="str">
        <f t="shared" si="13"/>
        <v>ry</v>
      </c>
      <c r="D440">
        <v>11.333333333333332</v>
      </c>
      <c r="E440">
        <f t="shared" si="12"/>
        <v>0.11333333333333333</v>
      </c>
    </row>
    <row r="441" spans="1:5">
      <c r="A441" t="s">
        <v>20</v>
      </c>
      <c r="B441" t="s">
        <v>0</v>
      </c>
      <c r="C441" t="str">
        <f t="shared" si="13"/>
        <v>wp</v>
      </c>
      <c r="D441">
        <v>0</v>
      </c>
      <c r="E441">
        <f t="shared" si="12"/>
        <v>0</v>
      </c>
    </row>
    <row r="442" spans="1:5">
      <c r="A442" t="s">
        <v>20</v>
      </c>
      <c r="B442" t="s">
        <v>1</v>
      </c>
      <c r="C442" t="str">
        <f t="shared" si="13"/>
        <v>wt</v>
      </c>
      <c r="D442">
        <v>0</v>
      </c>
      <c r="E442">
        <f t="shared" si="12"/>
        <v>0</v>
      </c>
    </row>
    <row r="443" spans="1:5">
      <c r="A443" t="s">
        <v>20</v>
      </c>
      <c r="B443" t="s">
        <v>2</v>
      </c>
      <c r="C443" t="str">
        <f t="shared" si="13"/>
        <v>wk</v>
      </c>
      <c r="D443">
        <v>0</v>
      </c>
      <c r="E443">
        <f t="shared" si="12"/>
        <v>0</v>
      </c>
    </row>
    <row r="444" spans="1:5">
      <c r="A444" t="s">
        <v>20</v>
      </c>
      <c r="B444" t="s">
        <v>3</v>
      </c>
      <c r="C444" t="str">
        <f t="shared" si="13"/>
        <v>wb</v>
      </c>
      <c r="D444">
        <v>1.3333333333333335</v>
      </c>
      <c r="E444">
        <f t="shared" si="12"/>
        <v>1.3333333333333334E-2</v>
      </c>
    </row>
    <row r="445" spans="1:5">
      <c r="A445" t="s">
        <v>20</v>
      </c>
      <c r="B445" t="s">
        <v>4</v>
      </c>
      <c r="C445" t="str">
        <f t="shared" si="13"/>
        <v>wd</v>
      </c>
      <c r="D445">
        <v>0.66666666666666674</v>
      </c>
      <c r="E445">
        <f t="shared" si="12"/>
        <v>6.6666666666666671E-3</v>
      </c>
    </row>
    <row r="446" spans="1:5">
      <c r="A446" t="s">
        <v>20</v>
      </c>
      <c r="B446" t="s">
        <v>5</v>
      </c>
      <c r="C446" t="str">
        <f t="shared" si="13"/>
        <v>wg</v>
      </c>
      <c r="D446">
        <v>3.3333333333333335</v>
      </c>
      <c r="E446">
        <f t="shared" si="12"/>
        <v>3.3333333333333333E-2</v>
      </c>
    </row>
    <row r="447" spans="1:5">
      <c r="A447" t="s">
        <v>20</v>
      </c>
      <c r="B447" t="s">
        <v>6</v>
      </c>
      <c r="C447" t="str">
        <f t="shared" si="13"/>
        <v>wC</v>
      </c>
      <c r="D447">
        <v>0</v>
      </c>
      <c r="E447">
        <f t="shared" si="12"/>
        <v>0</v>
      </c>
    </row>
    <row r="448" spans="1:5">
      <c r="A448" t="s">
        <v>20</v>
      </c>
      <c r="B448" t="s">
        <v>7</v>
      </c>
      <c r="C448" t="str">
        <f t="shared" si="13"/>
        <v>wJ</v>
      </c>
      <c r="D448">
        <v>0</v>
      </c>
      <c r="E448">
        <f t="shared" si="12"/>
        <v>0</v>
      </c>
    </row>
    <row r="449" spans="1:5">
      <c r="A449" t="s">
        <v>20</v>
      </c>
      <c r="B449" t="s">
        <v>8</v>
      </c>
      <c r="C449" t="str">
        <f t="shared" si="13"/>
        <v>ws</v>
      </c>
      <c r="D449">
        <v>0.66666666666666674</v>
      </c>
      <c r="E449">
        <f t="shared" si="12"/>
        <v>6.6666666666666671E-3</v>
      </c>
    </row>
    <row r="450" spans="1:5">
      <c r="A450" t="s">
        <v>20</v>
      </c>
      <c r="B450" t="s">
        <v>9</v>
      </c>
      <c r="C450" t="str">
        <f t="shared" si="13"/>
        <v>wS</v>
      </c>
      <c r="D450">
        <v>0</v>
      </c>
      <c r="E450">
        <f t="shared" ref="E450:E484" si="14">D450/100</f>
        <v>0</v>
      </c>
    </row>
    <row r="451" spans="1:5">
      <c r="A451" t="s">
        <v>20</v>
      </c>
      <c r="B451" t="s">
        <v>10</v>
      </c>
      <c r="C451" t="str">
        <f t="shared" si="13"/>
        <v>wz</v>
      </c>
      <c r="D451">
        <v>0.66666666666666674</v>
      </c>
      <c r="E451">
        <f t="shared" si="14"/>
        <v>6.6666666666666671E-3</v>
      </c>
    </row>
    <row r="452" spans="1:5">
      <c r="A452" t="s">
        <v>20</v>
      </c>
      <c r="B452" t="s">
        <v>11</v>
      </c>
      <c r="C452" t="str">
        <f t="shared" si="13"/>
        <v>wf</v>
      </c>
      <c r="D452">
        <v>0</v>
      </c>
      <c r="E452">
        <f t="shared" si="14"/>
        <v>0</v>
      </c>
    </row>
    <row r="453" spans="1:5">
      <c r="A453" t="s">
        <v>20</v>
      </c>
      <c r="B453" t="s">
        <v>12</v>
      </c>
      <c r="C453" t="str">
        <f t="shared" si="13"/>
        <v>wT</v>
      </c>
      <c r="D453">
        <v>0</v>
      </c>
      <c r="E453">
        <f t="shared" si="14"/>
        <v>0</v>
      </c>
    </row>
    <row r="454" spans="1:5">
      <c r="A454" t="s">
        <v>20</v>
      </c>
      <c r="B454" t="s">
        <v>13</v>
      </c>
      <c r="C454" t="str">
        <f t="shared" ref="C454:C484" si="15">CONCATENATE(A454, B454)</f>
        <v>wv</v>
      </c>
      <c r="D454">
        <v>2</v>
      </c>
      <c r="E454">
        <f t="shared" si="14"/>
        <v>0.02</v>
      </c>
    </row>
    <row r="455" spans="1:5">
      <c r="A455" t="s">
        <v>20</v>
      </c>
      <c r="B455" t="s">
        <v>14</v>
      </c>
      <c r="C455" t="str">
        <f t="shared" si="15"/>
        <v>wD</v>
      </c>
      <c r="D455">
        <v>0</v>
      </c>
      <c r="E455">
        <f t="shared" si="14"/>
        <v>0</v>
      </c>
    </row>
    <row r="456" spans="1:5">
      <c r="A456" t="s">
        <v>20</v>
      </c>
      <c r="B456" t="s">
        <v>15</v>
      </c>
      <c r="C456" t="str">
        <f t="shared" si="15"/>
        <v>wh</v>
      </c>
      <c r="D456">
        <v>0.66666666666666674</v>
      </c>
      <c r="E456">
        <f t="shared" si="14"/>
        <v>6.6666666666666671E-3</v>
      </c>
    </row>
    <row r="457" spans="1:5">
      <c r="A457" t="s">
        <v>20</v>
      </c>
      <c r="B457" t="s">
        <v>16</v>
      </c>
      <c r="C457" t="str">
        <f t="shared" si="15"/>
        <v>wn</v>
      </c>
      <c r="D457">
        <v>2</v>
      </c>
      <c r="E457">
        <f t="shared" si="14"/>
        <v>0.02</v>
      </c>
    </row>
    <row r="458" spans="1:5">
      <c r="A458" t="s">
        <v>20</v>
      </c>
      <c r="B458" t="s">
        <v>17</v>
      </c>
      <c r="C458" t="str">
        <f t="shared" si="15"/>
        <v>wm</v>
      </c>
      <c r="D458">
        <v>0.66666666666666674</v>
      </c>
      <c r="E458">
        <f t="shared" si="14"/>
        <v>6.6666666666666671E-3</v>
      </c>
    </row>
    <row r="459" spans="1:5">
      <c r="A459" t="s">
        <v>20</v>
      </c>
      <c r="B459" t="s">
        <v>18</v>
      </c>
      <c r="C459" t="str">
        <f t="shared" si="15"/>
        <v>wl</v>
      </c>
      <c r="D459">
        <v>2</v>
      </c>
      <c r="E459">
        <f t="shared" si="14"/>
        <v>0.02</v>
      </c>
    </row>
    <row r="460" spans="1:5">
      <c r="A460" t="s">
        <v>20</v>
      </c>
      <c r="B460" t="s">
        <v>19</v>
      </c>
      <c r="C460" t="str">
        <f t="shared" si="15"/>
        <v>wr</v>
      </c>
      <c r="D460">
        <v>4</v>
      </c>
      <c r="E460">
        <f t="shared" si="14"/>
        <v>0.04</v>
      </c>
    </row>
    <row r="461" spans="1:5">
      <c r="A461" t="s">
        <v>20</v>
      </c>
      <c r="B461" t="s">
        <v>20</v>
      </c>
      <c r="C461" t="str">
        <f t="shared" si="15"/>
        <v>ww</v>
      </c>
      <c r="D461">
        <v>3.3333333333333335</v>
      </c>
      <c r="E461">
        <f t="shared" si="14"/>
        <v>3.3333333333333333E-2</v>
      </c>
    </row>
    <row r="462" spans="1:5">
      <c r="A462" t="s">
        <v>20</v>
      </c>
      <c r="B462" t="s">
        <v>21</v>
      </c>
      <c r="C462" t="str">
        <f t="shared" si="15"/>
        <v>wy</v>
      </c>
      <c r="D462">
        <v>72</v>
      </c>
      <c r="E462">
        <f t="shared" si="14"/>
        <v>0.72</v>
      </c>
    </row>
    <row r="463" spans="1:5">
      <c r="A463" t="s">
        <v>21</v>
      </c>
      <c r="B463" t="s">
        <v>0</v>
      </c>
      <c r="C463" t="str">
        <f t="shared" si="15"/>
        <v>yp</v>
      </c>
      <c r="D463">
        <v>2</v>
      </c>
      <c r="E463">
        <f t="shared" si="14"/>
        <v>0.02</v>
      </c>
    </row>
    <row r="464" spans="1:5">
      <c r="A464" t="s">
        <v>21</v>
      </c>
      <c r="B464" t="s">
        <v>1</v>
      </c>
      <c r="C464" t="str">
        <f t="shared" si="15"/>
        <v>yt</v>
      </c>
      <c r="D464">
        <v>3.3333333333333335</v>
      </c>
      <c r="E464">
        <f t="shared" si="14"/>
        <v>3.3333333333333333E-2</v>
      </c>
    </row>
    <row r="465" spans="1:5">
      <c r="A465" t="s">
        <v>21</v>
      </c>
      <c r="B465" t="s">
        <v>2</v>
      </c>
      <c r="C465" t="str">
        <f t="shared" si="15"/>
        <v>yk</v>
      </c>
      <c r="D465">
        <v>6.666666666666667</v>
      </c>
      <c r="E465">
        <f t="shared" si="14"/>
        <v>6.6666666666666666E-2</v>
      </c>
    </row>
    <row r="466" spans="1:5">
      <c r="A466" t="s">
        <v>21</v>
      </c>
      <c r="B466" t="s">
        <v>3</v>
      </c>
      <c r="C466" t="str">
        <f t="shared" si="15"/>
        <v>yb</v>
      </c>
      <c r="D466">
        <v>2</v>
      </c>
      <c r="E466">
        <f t="shared" si="14"/>
        <v>0.02</v>
      </c>
    </row>
    <row r="467" spans="1:5">
      <c r="A467" t="s">
        <v>21</v>
      </c>
      <c r="B467" t="s">
        <v>4</v>
      </c>
      <c r="C467" t="str">
        <f t="shared" si="15"/>
        <v>yd</v>
      </c>
      <c r="D467">
        <v>0.66666666666666674</v>
      </c>
      <c r="E467">
        <f t="shared" si="14"/>
        <v>6.6666666666666671E-3</v>
      </c>
    </row>
    <row r="468" spans="1:5">
      <c r="A468" t="s">
        <v>21</v>
      </c>
      <c r="B468" t="s">
        <v>5</v>
      </c>
      <c r="C468" t="str">
        <f t="shared" si="15"/>
        <v>yg</v>
      </c>
      <c r="D468">
        <v>0.66666666666666674</v>
      </c>
      <c r="E468">
        <f t="shared" si="14"/>
        <v>6.6666666666666671E-3</v>
      </c>
    </row>
    <row r="469" spans="1:5">
      <c r="A469" t="s">
        <v>21</v>
      </c>
      <c r="B469" t="s">
        <v>6</v>
      </c>
      <c r="C469" t="str">
        <f t="shared" si="15"/>
        <v>yC</v>
      </c>
      <c r="D469">
        <v>0</v>
      </c>
      <c r="E469">
        <f t="shared" si="14"/>
        <v>0</v>
      </c>
    </row>
    <row r="470" spans="1:5">
      <c r="A470" t="s">
        <v>21</v>
      </c>
      <c r="B470" t="s">
        <v>7</v>
      </c>
      <c r="C470" t="str">
        <f t="shared" si="15"/>
        <v>yJ</v>
      </c>
      <c r="D470">
        <v>0.66666666666666674</v>
      </c>
      <c r="E470">
        <f t="shared" si="14"/>
        <v>6.6666666666666671E-3</v>
      </c>
    </row>
    <row r="471" spans="1:5">
      <c r="A471" t="s">
        <v>21</v>
      </c>
      <c r="B471" t="s">
        <v>8</v>
      </c>
      <c r="C471" t="str">
        <f t="shared" si="15"/>
        <v>ys</v>
      </c>
      <c r="D471">
        <v>0</v>
      </c>
      <c r="E471">
        <f t="shared" si="14"/>
        <v>0</v>
      </c>
    </row>
    <row r="472" spans="1:5">
      <c r="A472" t="s">
        <v>21</v>
      </c>
      <c r="B472" t="s">
        <v>9</v>
      </c>
      <c r="C472" t="str">
        <f t="shared" si="15"/>
        <v>yS</v>
      </c>
      <c r="D472">
        <v>0</v>
      </c>
      <c r="E472">
        <f t="shared" si="14"/>
        <v>0</v>
      </c>
    </row>
    <row r="473" spans="1:5">
      <c r="A473" t="s">
        <v>21</v>
      </c>
      <c r="B473" t="s">
        <v>10</v>
      </c>
      <c r="C473" t="str">
        <f t="shared" si="15"/>
        <v>yz</v>
      </c>
      <c r="D473">
        <v>0</v>
      </c>
      <c r="E473">
        <f t="shared" si="14"/>
        <v>0</v>
      </c>
    </row>
    <row r="474" spans="1:5">
      <c r="A474" t="s">
        <v>21</v>
      </c>
      <c r="B474" t="s">
        <v>11</v>
      </c>
      <c r="C474" t="str">
        <f t="shared" si="15"/>
        <v>yf</v>
      </c>
      <c r="D474">
        <v>2.666666666666667</v>
      </c>
      <c r="E474">
        <f t="shared" si="14"/>
        <v>2.6666666666666668E-2</v>
      </c>
    </row>
    <row r="475" spans="1:5">
      <c r="A475" t="s">
        <v>21</v>
      </c>
      <c r="B475" t="s">
        <v>12</v>
      </c>
      <c r="C475" t="str">
        <f t="shared" si="15"/>
        <v>yT</v>
      </c>
      <c r="D475">
        <v>1.3333333333333335</v>
      </c>
      <c r="E475">
        <f t="shared" si="14"/>
        <v>1.3333333333333334E-2</v>
      </c>
    </row>
    <row r="476" spans="1:5">
      <c r="A476" t="s">
        <v>21</v>
      </c>
      <c r="B476" t="s">
        <v>13</v>
      </c>
      <c r="C476" t="str">
        <f t="shared" si="15"/>
        <v>yv</v>
      </c>
      <c r="D476">
        <v>0.66666666666666674</v>
      </c>
      <c r="E476">
        <f t="shared" si="14"/>
        <v>6.6666666666666671E-3</v>
      </c>
    </row>
    <row r="477" spans="1:5">
      <c r="A477" t="s">
        <v>21</v>
      </c>
      <c r="B477" t="s">
        <v>14</v>
      </c>
      <c r="C477" t="str">
        <f t="shared" si="15"/>
        <v>yD</v>
      </c>
      <c r="D477">
        <v>1.3333333333333335</v>
      </c>
      <c r="E477">
        <f t="shared" si="14"/>
        <v>1.3333333333333334E-2</v>
      </c>
    </row>
    <row r="478" spans="1:5">
      <c r="A478" t="s">
        <v>21</v>
      </c>
      <c r="B478" t="s">
        <v>15</v>
      </c>
      <c r="C478" t="str">
        <f t="shared" si="15"/>
        <v>yh</v>
      </c>
      <c r="D478">
        <v>7.333333333333333</v>
      </c>
      <c r="E478">
        <f t="shared" si="14"/>
        <v>7.3333333333333334E-2</v>
      </c>
    </row>
    <row r="479" spans="1:5">
      <c r="A479" t="s">
        <v>21</v>
      </c>
      <c r="B479" t="s">
        <v>16</v>
      </c>
      <c r="C479" t="str">
        <f t="shared" si="15"/>
        <v>yn</v>
      </c>
      <c r="D479">
        <v>0.66666666666666674</v>
      </c>
      <c r="E479">
        <f t="shared" si="14"/>
        <v>6.6666666666666671E-3</v>
      </c>
    </row>
    <row r="480" spans="1:5">
      <c r="A480" t="s">
        <v>21</v>
      </c>
      <c r="B480" t="s">
        <v>17</v>
      </c>
      <c r="C480" t="str">
        <f t="shared" si="15"/>
        <v>ym</v>
      </c>
      <c r="D480">
        <v>1.3333333333333335</v>
      </c>
      <c r="E480">
        <f t="shared" si="14"/>
        <v>1.3333333333333334E-2</v>
      </c>
    </row>
    <row r="481" spans="1:5">
      <c r="A481" t="s">
        <v>21</v>
      </c>
      <c r="B481" t="s">
        <v>18</v>
      </c>
      <c r="C481" t="str">
        <f t="shared" si="15"/>
        <v>yl</v>
      </c>
      <c r="D481">
        <v>2</v>
      </c>
      <c r="E481">
        <f t="shared" si="14"/>
        <v>0.02</v>
      </c>
    </row>
    <row r="482" spans="1:5">
      <c r="A482" t="s">
        <v>21</v>
      </c>
      <c r="B482" t="s">
        <v>19</v>
      </c>
      <c r="C482" t="str">
        <f t="shared" si="15"/>
        <v>yr</v>
      </c>
      <c r="D482">
        <v>2</v>
      </c>
      <c r="E482">
        <f t="shared" si="14"/>
        <v>0.02</v>
      </c>
    </row>
    <row r="483" spans="1:5">
      <c r="A483" t="s">
        <v>21</v>
      </c>
      <c r="B483" t="s">
        <v>20</v>
      </c>
      <c r="C483" t="str">
        <f t="shared" si="15"/>
        <v>yw</v>
      </c>
      <c r="D483">
        <v>0.66666666666666674</v>
      </c>
      <c r="E483">
        <f t="shared" si="14"/>
        <v>6.6666666666666671E-3</v>
      </c>
    </row>
    <row r="484" spans="1:5">
      <c r="A484" t="s">
        <v>21</v>
      </c>
      <c r="B484" t="s">
        <v>21</v>
      </c>
      <c r="C484" t="str">
        <f t="shared" si="15"/>
        <v>yy</v>
      </c>
      <c r="D484">
        <v>1.3333333333333335</v>
      </c>
      <c r="E484">
        <f t="shared" si="14"/>
        <v>1.3333333333333334E-2</v>
      </c>
    </row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2"/>
  <sheetViews>
    <sheetView workbookViewId="0">
      <selection activeCell="J1" sqref="H1:J1"/>
    </sheetView>
  </sheetViews>
  <sheetFormatPr baseColWidth="10" defaultColWidth="8.83203125" defaultRowHeight="15"/>
  <sheetData>
    <row r="1" spans="1:10"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>
      <c r="A2" t="s">
        <v>55</v>
      </c>
      <c r="B2" t="s">
        <v>54</v>
      </c>
      <c r="C2" t="s">
        <v>56</v>
      </c>
      <c r="D2" t="s">
        <v>66</v>
      </c>
      <c r="E2" t="s">
        <v>17</v>
      </c>
      <c r="F2" t="s">
        <v>3</v>
      </c>
      <c r="G2" t="s">
        <v>10</v>
      </c>
      <c r="H2">
        <f ca="1">VLOOKUP(D2,Sheet1!C1:D44,2,FALSE)</f>
        <v>2</v>
      </c>
    </row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V23"/>
  <sheetViews>
    <sheetView workbookViewId="0">
      <selection activeCell="A23" sqref="A23:XFD23"/>
    </sheetView>
  </sheetViews>
  <sheetFormatPr baseColWidth="10" defaultRowHeight="15"/>
  <sheetData>
    <row r="1" spans="1:22" s="19" customFormat="1">
      <c r="A1" s="19">
        <v>26.666666666666668</v>
      </c>
      <c r="B1" s="19">
        <v>36.666666666666664</v>
      </c>
      <c r="C1" s="19">
        <v>20</v>
      </c>
      <c r="D1" s="19">
        <v>1.3333333333333335</v>
      </c>
      <c r="E1" s="19">
        <v>0</v>
      </c>
      <c r="F1" s="19">
        <v>0</v>
      </c>
      <c r="G1" s="19">
        <v>0.66666666666666674</v>
      </c>
      <c r="H1" s="19">
        <v>0</v>
      </c>
      <c r="I1" s="19">
        <v>0.66666666666666674</v>
      </c>
      <c r="J1" s="19">
        <v>0</v>
      </c>
      <c r="K1" s="19">
        <v>0</v>
      </c>
      <c r="L1" s="19">
        <v>3.3333333333333335</v>
      </c>
      <c r="M1" s="19">
        <v>0.66666666666666674</v>
      </c>
      <c r="N1" s="19">
        <v>2</v>
      </c>
      <c r="O1" s="19">
        <v>0</v>
      </c>
      <c r="P1" s="19">
        <v>3.3333333333333335</v>
      </c>
      <c r="Q1" s="19">
        <v>0</v>
      </c>
      <c r="R1" s="19">
        <v>0</v>
      </c>
      <c r="S1" s="19">
        <v>0.66666666666666674</v>
      </c>
      <c r="T1" s="19">
        <v>0</v>
      </c>
      <c r="U1" s="19">
        <v>0</v>
      </c>
      <c r="V1" s="19">
        <v>0</v>
      </c>
    </row>
    <row r="2" spans="1:22" s="19" customFormat="1">
      <c r="A2" s="19">
        <v>2.666666666666667</v>
      </c>
      <c r="B2" s="19">
        <v>68.666666666666671</v>
      </c>
      <c r="C2" s="19">
        <v>16</v>
      </c>
      <c r="D2" s="19">
        <v>0</v>
      </c>
      <c r="E2" s="19">
        <v>2</v>
      </c>
      <c r="F2" s="19">
        <v>0</v>
      </c>
      <c r="G2" s="19">
        <v>2</v>
      </c>
      <c r="H2" s="19">
        <v>0</v>
      </c>
      <c r="I2" s="19">
        <v>0.66666666666666674</v>
      </c>
      <c r="J2" s="19">
        <v>0</v>
      </c>
      <c r="K2" s="19">
        <v>0</v>
      </c>
      <c r="L2" s="19">
        <v>0</v>
      </c>
      <c r="M2" s="19">
        <v>0.66666666666666674</v>
      </c>
      <c r="N2" s="19">
        <v>0</v>
      </c>
      <c r="O2" s="19">
        <v>1.3333333333333335</v>
      </c>
      <c r="P2" s="19">
        <v>0.66666666666666674</v>
      </c>
      <c r="Q2" s="19">
        <v>0</v>
      </c>
      <c r="R2" s="19">
        <v>0.66666666666666674</v>
      </c>
      <c r="S2" s="19">
        <v>0</v>
      </c>
      <c r="T2" s="19">
        <v>2</v>
      </c>
      <c r="U2" s="19">
        <v>0</v>
      </c>
      <c r="V2" s="19">
        <v>0</v>
      </c>
    </row>
    <row r="3" spans="1:22" s="19" customFormat="1">
      <c r="A3" s="19">
        <v>8</v>
      </c>
      <c r="B3" s="19">
        <v>13.333333333333334</v>
      </c>
      <c r="C3" s="19">
        <v>68</v>
      </c>
      <c r="D3" s="19">
        <v>2.666666666666667</v>
      </c>
      <c r="E3" s="19">
        <v>0.66666666666666674</v>
      </c>
      <c r="F3" s="19">
        <v>0</v>
      </c>
      <c r="G3" s="19">
        <v>2.666666666666667</v>
      </c>
      <c r="H3" s="19">
        <v>0.66666666666666674</v>
      </c>
      <c r="I3" s="19">
        <v>0</v>
      </c>
      <c r="J3" s="19">
        <v>0</v>
      </c>
      <c r="K3" s="19">
        <v>0</v>
      </c>
      <c r="L3" s="19">
        <v>0</v>
      </c>
      <c r="M3" s="19">
        <v>0.66666666666666674</v>
      </c>
      <c r="N3" s="19">
        <v>0</v>
      </c>
      <c r="O3" s="19">
        <v>0</v>
      </c>
      <c r="P3" s="19">
        <v>0.66666666666666674</v>
      </c>
      <c r="Q3" s="19">
        <v>0</v>
      </c>
      <c r="R3" s="19">
        <v>0</v>
      </c>
      <c r="S3" s="19">
        <v>0</v>
      </c>
      <c r="T3" s="19">
        <v>0.66666666666666674</v>
      </c>
      <c r="U3" s="19">
        <v>0</v>
      </c>
      <c r="V3" s="19">
        <v>0</v>
      </c>
    </row>
    <row r="4" spans="1:22" s="19" customFormat="1">
      <c r="A4" s="19">
        <v>6</v>
      </c>
      <c r="B4" s="19">
        <v>4</v>
      </c>
      <c r="C4" s="19">
        <v>4.666666666666667</v>
      </c>
      <c r="D4" s="19">
        <v>26</v>
      </c>
      <c r="E4" s="19">
        <v>20</v>
      </c>
      <c r="F4" s="19">
        <v>6.666666666666667</v>
      </c>
      <c r="G4" s="19">
        <v>0.66666666666666674</v>
      </c>
      <c r="H4" s="19">
        <v>0.66666666666666674</v>
      </c>
      <c r="I4" s="19">
        <v>1.3333333333333335</v>
      </c>
      <c r="J4" s="19">
        <v>0</v>
      </c>
      <c r="K4" s="19">
        <v>0</v>
      </c>
      <c r="L4" s="19">
        <v>7.333333333333333</v>
      </c>
      <c r="M4" s="19">
        <v>2</v>
      </c>
      <c r="N4" s="19">
        <v>6</v>
      </c>
      <c r="O4" s="19">
        <v>8</v>
      </c>
      <c r="P4" s="19">
        <v>0</v>
      </c>
      <c r="Q4" s="19">
        <v>0</v>
      </c>
      <c r="R4" s="19">
        <v>0</v>
      </c>
      <c r="S4" s="19">
        <v>2</v>
      </c>
      <c r="T4" s="19">
        <v>0.66666666666666674</v>
      </c>
      <c r="U4" s="19">
        <v>0.66666666666666674</v>
      </c>
      <c r="V4" s="19">
        <v>0.66666666666666674</v>
      </c>
    </row>
    <row r="5" spans="1:22">
      <c r="A5">
        <v>0.66666666666666674</v>
      </c>
      <c r="B5">
        <v>4</v>
      </c>
      <c r="C5">
        <v>0</v>
      </c>
      <c r="D5">
        <v>2.666666666666667</v>
      </c>
      <c r="E5">
        <v>76</v>
      </c>
      <c r="F5">
        <v>3.3333333333333335</v>
      </c>
      <c r="G5">
        <v>1.3333333333333335</v>
      </c>
      <c r="H5">
        <v>2</v>
      </c>
      <c r="I5">
        <v>2</v>
      </c>
      <c r="J5">
        <v>0</v>
      </c>
      <c r="K5">
        <v>0.66666666666666674</v>
      </c>
      <c r="L5">
        <v>0.66666666666666674</v>
      </c>
      <c r="M5">
        <v>3.3333333333333335</v>
      </c>
      <c r="N5">
        <v>0</v>
      </c>
      <c r="O5">
        <v>2.666666666666667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0.66666666666666674</v>
      </c>
      <c r="B6">
        <v>0</v>
      </c>
      <c r="C6">
        <v>0.66666666666666674</v>
      </c>
      <c r="D6">
        <v>4.666666666666667</v>
      </c>
      <c r="E6">
        <v>14</v>
      </c>
      <c r="F6">
        <v>49.333333333333336</v>
      </c>
      <c r="G6">
        <v>0</v>
      </c>
      <c r="H6">
        <v>2</v>
      </c>
      <c r="I6">
        <v>2</v>
      </c>
      <c r="J6">
        <v>0</v>
      </c>
      <c r="K6">
        <v>0</v>
      </c>
      <c r="L6">
        <v>0.66666666666666674</v>
      </c>
      <c r="M6">
        <v>0</v>
      </c>
      <c r="N6">
        <v>5.3333333333333339</v>
      </c>
      <c r="O6">
        <v>0.66666666666666674</v>
      </c>
      <c r="P6">
        <v>1.3333333333333335</v>
      </c>
      <c r="Q6">
        <v>0</v>
      </c>
      <c r="R6">
        <v>0</v>
      </c>
      <c r="S6">
        <v>0</v>
      </c>
      <c r="T6">
        <v>1.3333333333333335</v>
      </c>
      <c r="U6">
        <v>3.3333333333333335</v>
      </c>
      <c r="V6">
        <v>11.333333333333332</v>
      </c>
    </row>
    <row r="7" spans="1:22">
      <c r="A7">
        <v>0</v>
      </c>
      <c r="B7">
        <v>4.666666666666667</v>
      </c>
      <c r="C7">
        <v>0.66666666666666674</v>
      </c>
      <c r="D7">
        <v>0</v>
      </c>
      <c r="E7">
        <v>0</v>
      </c>
      <c r="F7">
        <v>0</v>
      </c>
      <c r="G7">
        <v>92</v>
      </c>
      <c r="H7">
        <v>0</v>
      </c>
      <c r="I7">
        <v>0</v>
      </c>
      <c r="J7">
        <v>1.3333333333333335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0.66666666666666674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0</v>
      </c>
      <c r="B8">
        <v>0.66666666666666674</v>
      </c>
      <c r="C8">
        <v>0</v>
      </c>
      <c r="D8">
        <v>0</v>
      </c>
      <c r="E8">
        <v>2</v>
      </c>
      <c r="F8">
        <v>6.666666666666667</v>
      </c>
      <c r="G8">
        <v>2.666666666666667</v>
      </c>
      <c r="H8">
        <v>86.666666666666671</v>
      </c>
      <c r="I8">
        <v>0</v>
      </c>
      <c r="J8">
        <v>0</v>
      </c>
      <c r="K8">
        <v>0</v>
      </c>
      <c r="L8">
        <v>0.66666666666666674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2</v>
      </c>
      <c r="B9">
        <v>12</v>
      </c>
      <c r="C9">
        <v>0.66666666666666674</v>
      </c>
      <c r="D9">
        <v>2</v>
      </c>
      <c r="E9">
        <v>4.666666666666667</v>
      </c>
      <c r="F9">
        <v>0</v>
      </c>
      <c r="G9">
        <v>6</v>
      </c>
      <c r="H9">
        <v>2</v>
      </c>
      <c r="I9">
        <v>36.666666666666664</v>
      </c>
      <c r="J9">
        <v>0.66666666666666674</v>
      </c>
      <c r="K9">
        <v>10.666666666666668</v>
      </c>
      <c r="L9">
        <v>7.333333333333333</v>
      </c>
      <c r="M9">
        <v>8.6666666666666679</v>
      </c>
      <c r="N9">
        <v>0</v>
      </c>
      <c r="O9">
        <v>4.666666666666667</v>
      </c>
      <c r="P9">
        <v>0</v>
      </c>
      <c r="Q9">
        <v>0.66666666666666674</v>
      </c>
      <c r="R9">
        <v>0.66666666666666674</v>
      </c>
      <c r="S9">
        <v>0</v>
      </c>
      <c r="T9">
        <v>0</v>
      </c>
      <c r="U9">
        <v>0</v>
      </c>
      <c r="V9">
        <v>0.66666666666666674</v>
      </c>
    </row>
    <row r="10" spans="1:22">
      <c r="A10">
        <v>0.66666666666666674</v>
      </c>
      <c r="B10">
        <v>0</v>
      </c>
      <c r="C10">
        <v>0</v>
      </c>
      <c r="D10">
        <v>0</v>
      </c>
      <c r="E10">
        <v>0</v>
      </c>
      <c r="F10">
        <v>0</v>
      </c>
      <c r="G10">
        <v>53.333333333333336</v>
      </c>
      <c r="H10">
        <v>2</v>
      </c>
      <c r="I10">
        <v>1.3333333333333335</v>
      </c>
      <c r="J10">
        <v>41.333333333333336</v>
      </c>
      <c r="K10">
        <v>0</v>
      </c>
      <c r="L10">
        <v>0.66666666666666674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0</v>
      </c>
      <c r="B11">
        <v>0.66666666666666674</v>
      </c>
      <c r="C11">
        <v>0.66666666666666674</v>
      </c>
      <c r="D11">
        <v>1.3333333333333335</v>
      </c>
      <c r="E11">
        <v>16</v>
      </c>
      <c r="F11">
        <v>10</v>
      </c>
      <c r="G11">
        <v>0</v>
      </c>
      <c r="H11">
        <v>2.666666666666667</v>
      </c>
      <c r="I11">
        <v>6</v>
      </c>
      <c r="J11">
        <v>0</v>
      </c>
      <c r="K11">
        <v>30</v>
      </c>
      <c r="L11">
        <v>0</v>
      </c>
      <c r="M11">
        <v>8</v>
      </c>
      <c r="N11">
        <v>6</v>
      </c>
      <c r="O11">
        <v>14</v>
      </c>
      <c r="P11">
        <v>0</v>
      </c>
      <c r="Q11">
        <v>0</v>
      </c>
      <c r="R11">
        <v>0</v>
      </c>
      <c r="S11">
        <v>0.66666666666666674</v>
      </c>
      <c r="T11">
        <v>2</v>
      </c>
      <c r="U11">
        <v>0.66666666666666674</v>
      </c>
      <c r="V11">
        <v>1.3333333333333335</v>
      </c>
    </row>
    <row r="12" spans="1:22">
      <c r="A12">
        <v>9.3333333333333339</v>
      </c>
      <c r="B12">
        <v>10.666666666666668</v>
      </c>
      <c r="C12">
        <v>6</v>
      </c>
      <c r="D12">
        <v>8</v>
      </c>
      <c r="E12">
        <v>1.3333333333333335</v>
      </c>
      <c r="F12">
        <v>0.66666666666666674</v>
      </c>
      <c r="G12">
        <v>3.3333333333333335</v>
      </c>
      <c r="H12">
        <v>0</v>
      </c>
      <c r="I12">
        <v>7.333333333333333</v>
      </c>
      <c r="J12">
        <v>0</v>
      </c>
      <c r="K12">
        <v>2.666666666666667</v>
      </c>
      <c r="L12">
        <v>36</v>
      </c>
      <c r="M12">
        <v>6</v>
      </c>
      <c r="N12">
        <v>2</v>
      </c>
      <c r="O12">
        <v>4</v>
      </c>
      <c r="P12">
        <v>0.66666666666666674</v>
      </c>
      <c r="Q12">
        <v>0</v>
      </c>
      <c r="R12">
        <v>0.66666666666666674</v>
      </c>
      <c r="S12">
        <v>0.66666666666666674</v>
      </c>
      <c r="T12">
        <v>0</v>
      </c>
      <c r="U12">
        <v>0</v>
      </c>
      <c r="V12">
        <v>0</v>
      </c>
    </row>
    <row r="13" spans="1:22">
      <c r="A13">
        <v>7.333333333333333</v>
      </c>
      <c r="B13">
        <v>12</v>
      </c>
      <c r="C13">
        <v>4.666666666666667</v>
      </c>
      <c r="D13">
        <v>7.333333333333333</v>
      </c>
      <c r="E13">
        <v>4</v>
      </c>
      <c r="F13">
        <v>3.3333333333333335</v>
      </c>
      <c r="G13">
        <v>1.3333333333333335</v>
      </c>
      <c r="H13">
        <v>0</v>
      </c>
      <c r="I13">
        <v>8</v>
      </c>
      <c r="J13">
        <v>0</v>
      </c>
      <c r="K13">
        <v>1.3333333333333335</v>
      </c>
      <c r="L13">
        <v>24</v>
      </c>
      <c r="M13">
        <v>13.333333333333334</v>
      </c>
      <c r="N13">
        <v>2.666666666666667</v>
      </c>
      <c r="O13">
        <v>6.666666666666667</v>
      </c>
      <c r="P13">
        <v>2</v>
      </c>
      <c r="Q13">
        <v>0</v>
      </c>
      <c r="R13">
        <v>0.66666666666666674</v>
      </c>
      <c r="S13">
        <v>0</v>
      </c>
      <c r="T13">
        <v>0</v>
      </c>
      <c r="U13">
        <v>0</v>
      </c>
      <c r="V13">
        <v>0</v>
      </c>
    </row>
    <row r="14" spans="1:22">
      <c r="A14">
        <v>0.66666666666666674</v>
      </c>
      <c r="B14">
        <v>1.3333333333333335</v>
      </c>
      <c r="C14">
        <v>0.66666666666666674</v>
      </c>
      <c r="D14">
        <v>11.333333333333332</v>
      </c>
      <c r="E14">
        <v>10</v>
      </c>
      <c r="F14">
        <v>4.666666666666667</v>
      </c>
      <c r="G14">
        <v>0</v>
      </c>
      <c r="H14">
        <v>0</v>
      </c>
      <c r="I14">
        <v>0</v>
      </c>
      <c r="J14">
        <v>0.66666666666666674</v>
      </c>
      <c r="K14">
        <v>2</v>
      </c>
      <c r="L14">
        <v>2.666666666666667</v>
      </c>
      <c r="M14">
        <v>11.333333333333332</v>
      </c>
      <c r="N14">
        <v>22.666666666666664</v>
      </c>
      <c r="O14">
        <v>20.666666666666668</v>
      </c>
      <c r="P14">
        <v>0</v>
      </c>
      <c r="Q14">
        <v>0.66666666666666674</v>
      </c>
      <c r="R14">
        <v>0.66666666666666674</v>
      </c>
      <c r="S14">
        <v>6</v>
      </c>
      <c r="T14">
        <v>1.3333333333333335</v>
      </c>
      <c r="U14">
        <v>1.3333333333333335</v>
      </c>
      <c r="V14">
        <v>0</v>
      </c>
    </row>
    <row r="15" spans="1:22">
      <c r="A15">
        <v>2.666666666666667</v>
      </c>
      <c r="B15">
        <v>1.3333333333333335</v>
      </c>
      <c r="C15">
        <v>1.3333333333333335</v>
      </c>
      <c r="D15">
        <v>4</v>
      </c>
      <c r="E15">
        <v>8</v>
      </c>
      <c r="F15">
        <v>4.666666666666667</v>
      </c>
      <c r="G15">
        <v>2</v>
      </c>
      <c r="H15">
        <v>0</v>
      </c>
      <c r="I15">
        <v>2.666666666666667</v>
      </c>
      <c r="J15">
        <v>0.66666666666666674</v>
      </c>
      <c r="K15">
        <v>9.3333333333333339</v>
      </c>
      <c r="L15">
        <v>1.3333333333333335</v>
      </c>
      <c r="M15">
        <v>10.666666666666668</v>
      </c>
      <c r="N15">
        <v>10.666666666666668</v>
      </c>
      <c r="O15">
        <v>30</v>
      </c>
      <c r="P15">
        <v>0.66666666666666674</v>
      </c>
      <c r="Q15">
        <v>1.3333333333333335</v>
      </c>
      <c r="R15">
        <v>1.3333333333333335</v>
      </c>
      <c r="S15">
        <v>3.3333333333333335</v>
      </c>
      <c r="T15">
        <v>2.666666666666667</v>
      </c>
      <c r="U15">
        <v>0.66666666666666674</v>
      </c>
      <c r="V15">
        <v>0</v>
      </c>
    </row>
    <row r="16" spans="1:22">
      <c r="A16">
        <v>19.333333333333332</v>
      </c>
      <c r="B16">
        <v>28</v>
      </c>
      <c r="C16">
        <v>22</v>
      </c>
      <c r="D16">
        <v>0.66666666666666674</v>
      </c>
      <c r="E16">
        <v>0</v>
      </c>
      <c r="F16">
        <v>0</v>
      </c>
      <c r="G16">
        <v>1.3333333333333335</v>
      </c>
      <c r="H16">
        <v>0</v>
      </c>
      <c r="I16">
        <v>0</v>
      </c>
      <c r="J16">
        <v>0</v>
      </c>
      <c r="K16">
        <v>0</v>
      </c>
      <c r="L16">
        <v>3.3333333333333335</v>
      </c>
      <c r="M16">
        <v>1.3333333333333335</v>
      </c>
      <c r="N16">
        <v>0.66666666666666674</v>
      </c>
      <c r="O16">
        <v>0</v>
      </c>
      <c r="P16">
        <v>12.666666666666668</v>
      </c>
      <c r="Q16">
        <v>1.3333333333333335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0</v>
      </c>
      <c r="B17">
        <v>0.66666666666666674</v>
      </c>
      <c r="C17">
        <v>0.66666666666666674</v>
      </c>
      <c r="D17">
        <v>0</v>
      </c>
      <c r="E17">
        <v>0</v>
      </c>
      <c r="F17">
        <v>0</v>
      </c>
      <c r="G17">
        <v>0.66666666666666674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0.66666666666666674</v>
      </c>
      <c r="O17">
        <v>0</v>
      </c>
      <c r="P17">
        <v>1.3333333333333335</v>
      </c>
      <c r="Q17">
        <v>78.666666666666657</v>
      </c>
      <c r="R17">
        <v>17.333333333333336</v>
      </c>
      <c r="S17">
        <v>0</v>
      </c>
      <c r="T17">
        <v>0</v>
      </c>
      <c r="U17">
        <v>0</v>
      </c>
      <c r="V17">
        <v>0</v>
      </c>
    </row>
    <row r="18" spans="1:2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1.3333333333333335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13.333333333333334</v>
      </c>
      <c r="R18">
        <v>84</v>
      </c>
      <c r="S18">
        <v>0</v>
      </c>
      <c r="T18">
        <v>0</v>
      </c>
      <c r="U18">
        <v>0</v>
      </c>
      <c r="V18">
        <v>0.66666666666666674</v>
      </c>
    </row>
    <row r="19" spans="1:22">
      <c r="A19">
        <v>2</v>
      </c>
      <c r="B19">
        <v>0</v>
      </c>
      <c r="C19">
        <v>0.66666666666666674</v>
      </c>
      <c r="D19">
        <v>7.333333333333333</v>
      </c>
      <c r="E19">
        <v>0.66666666666666674</v>
      </c>
      <c r="F19">
        <v>2.666666666666667</v>
      </c>
      <c r="G19">
        <v>0.66666666666666674</v>
      </c>
      <c r="H19">
        <v>0.66666666666666674</v>
      </c>
      <c r="I19">
        <v>0</v>
      </c>
      <c r="J19">
        <v>0</v>
      </c>
      <c r="K19">
        <v>0</v>
      </c>
      <c r="L19">
        <v>3.3333333333333335</v>
      </c>
      <c r="M19">
        <v>0</v>
      </c>
      <c r="N19">
        <v>0</v>
      </c>
      <c r="O19">
        <v>0</v>
      </c>
      <c r="P19">
        <v>1.3333333333333335</v>
      </c>
      <c r="Q19">
        <v>1.3333333333333335</v>
      </c>
      <c r="R19">
        <v>2</v>
      </c>
      <c r="S19">
        <v>71.333333333333343</v>
      </c>
      <c r="T19">
        <v>2</v>
      </c>
      <c r="U19">
        <v>0.66666666666666674</v>
      </c>
      <c r="V19">
        <v>1.3333333333333335</v>
      </c>
    </row>
    <row r="20" spans="1:22">
      <c r="A20">
        <v>0</v>
      </c>
      <c r="B20">
        <v>0.66666666666666674</v>
      </c>
      <c r="C20">
        <v>0.66666666666666674</v>
      </c>
      <c r="D20">
        <v>1.3333333333333335</v>
      </c>
      <c r="E20">
        <v>0.66666666666666674</v>
      </c>
      <c r="F20">
        <v>4.666666666666667</v>
      </c>
      <c r="G20">
        <v>0</v>
      </c>
      <c r="H20">
        <v>0.66666666666666674</v>
      </c>
      <c r="I20">
        <v>0</v>
      </c>
      <c r="J20">
        <v>0</v>
      </c>
      <c r="K20">
        <v>0.66666666666666674</v>
      </c>
      <c r="L20">
        <v>0.66666666666666674</v>
      </c>
      <c r="M20">
        <v>0</v>
      </c>
      <c r="N20">
        <v>0</v>
      </c>
      <c r="O20">
        <v>0</v>
      </c>
      <c r="P20">
        <v>0</v>
      </c>
      <c r="Q20">
        <v>0</v>
      </c>
      <c r="R20">
        <v>0.66666666666666674</v>
      </c>
      <c r="S20">
        <v>20</v>
      </c>
      <c r="T20">
        <v>45.333333333333329</v>
      </c>
      <c r="U20">
        <v>9.3333333333333339</v>
      </c>
      <c r="V20">
        <v>13.333333333333334</v>
      </c>
    </row>
    <row r="21" spans="1:22">
      <c r="A21">
        <v>0</v>
      </c>
      <c r="B21">
        <v>2.666666666666667</v>
      </c>
      <c r="C21">
        <v>0.66666666666666674</v>
      </c>
      <c r="D21">
        <v>1.3333333333333335</v>
      </c>
      <c r="E21">
        <v>0.66666666666666674</v>
      </c>
      <c r="F21">
        <v>1.3333333333333335</v>
      </c>
      <c r="G21">
        <v>0.66666666666666674</v>
      </c>
      <c r="H21">
        <v>0.66666666666666674</v>
      </c>
      <c r="I21">
        <v>0.66666666666666674</v>
      </c>
      <c r="J21">
        <v>0</v>
      </c>
      <c r="K21">
        <v>0.66666666666666674</v>
      </c>
      <c r="L21">
        <v>0.66666666666666674</v>
      </c>
      <c r="M21">
        <v>0</v>
      </c>
      <c r="N21">
        <v>0.66666666666666674</v>
      </c>
      <c r="O21">
        <v>1.3333333333333335</v>
      </c>
      <c r="P21">
        <v>1.3333333333333335</v>
      </c>
      <c r="Q21">
        <v>0.66666666666666674</v>
      </c>
      <c r="R21">
        <v>0</v>
      </c>
      <c r="S21">
        <v>9.3333333333333339</v>
      </c>
      <c r="T21">
        <v>14.666666666666666</v>
      </c>
      <c r="U21">
        <v>50</v>
      </c>
      <c r="V21">
        <v>11.333333333333332</v>
      </c>
    </row>
    <row r="22" spans="1:22">
      <c r="A22">
        <v>0</v>
      </c>
      <c r="B22">
        <v>0</v>
      </c>
      <c r="C22">
        <v>0</v>
      </c>
      <c r="D22">
        <v>1.3333333333333335</v>
      </c>
      <c r="E22">
        <v>0.66666666666666674</v>
      </c>
      <c r="F22">
        <v>3.3333333333333335</v>
      </c>
      <c r="G22">
        <v>0</v>
      </c>
      <c r="H22">
        <v>0</v>
      </c>
      <c r="I22">
        <v>0.66666666666666674</v>
      </c>
      <c r="J22">
        <v>0</v>
      </c>
      <c r="K22">
        <v>0.66666666666666674</v>
      </c>
      <c r="L22">
        <v>0</v>
      </c>
      <c r="M22">
        <v>0</v>
      </c>
      <c r="N22">
        <v>2</v>
      </c>
      <c r="O22">
        <v>0</v>
      </c>
      <c r="P22">
        <v>0.66666666666666674</v>
      </c>
      <c r="Q22">
        <v>2</v>
      </c>
      <c r="R22">
        <v>0.66666666666666674</v>
      </c>
      <c r="S22">
        <v>2</v>
      </c>
      <c r="T22">
        <v>4</v>
      </c>
      <c r="U22">
        <v>3.3333333333333335</v>
      </c>
      <c r="V22">
        <v>72</v>
      </c>
    </row>
    <row r="23" spans="1:22">
      <c r="A23">
        <v>2</v>
      </c>
      <c r="B23">
        <v>3.3333333333333335</v>
      </c>
      <c r="C23">
        <v>6.666666666666667</v>
      </c>
      <c r="D23">
        <v>2</v>
      </c>
      <c r="E23">
        <v>0.66666666666666674</v>
      </c>
      <c r="F23">
        <v>0.66666666666666674</v>
      </c>
      <c r="G23">
        <v>0</v>
      </c>
      <c r="H23">
        <v>0.66666666666666674</v>
      </c>
      <c r="I23">
        <v>0</v>
      </c>
      <c r="J23">
        <v>0</v>
      </c>
      <c r="K23">
        <v>0</v>
      </c>
      <c r="L23">
        <v>2.666666666666667</v>
      </c>
      <c r="M23">
        <v>1.3333333333333335</v>
      </c>
      <c r="N23">
        <v>0.66666666666666674</v>
      </c>
      <c r="O23">
        <v>1.3333333333333335</v>
      </c>
      <c r="P23">
        <v>7.333333333333333</v>
      </c>
      <c r="Q23">
        <v>0.66666666666666674</v>
      </c>
      <c r="R23">
        <v>1.3333333333333335</v>
      </c>
      <c r="S23">
        <v>2</v>
      </c>
      <c r="T23">
        <v>2</v>
      </c>
      <c r="U23">
        <v>0.66666666666666674</v>
      </c>
      <c r="V23">
        <v>1.3333333333333335</v>
      </c>
    </row>
  </sheetData>
  <sheetCalcPr fullCalcOnLoad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Luce+5</vt:lpstr>
      <vt:lpstr>Sheet1</vt:lpstr>
      <vt:lpstr>Sheet2</vt:lpstr>
      <vt:lpstr>Sheet3</vt:lpstr>
      <vt:lpstr>Luce+5</vt:lpstr>
      <vt:lpstr>Sheet1</vt:lpstr>
      <vt:lpstr>Sheet2</vt:lpstr>
      <vt:lpstr>Sheet3</vt:lpstr>
    </vt:vector>
  </TitlesOfParts>
  <Company>Southern CT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Brancazio</dc:creator>
  <cp:lastModifiedBy>Office 2008 Converter</cp:lastModifiedBy>
  <dcterms:created xsi:type="dcterms:W3CDTF">2011-09-12T20:00:42Z</dcterms:created>
  <dcterms:modified xsi:type="dcterms:W3CDTF">2011-10-24T15:57:44Z</dcterms:modified>
</cp:coreProperties>
</file>